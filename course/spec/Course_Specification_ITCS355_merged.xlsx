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urse Information" sheetId="1" state="visible" r:id="rId3"/>
    <sheet name="CLOs" sheetId="2" state="visible" r:id="rId4"/>
    <sheet name="Teaching Method" sheetId="3" state="visible" r:id="rId5"/>
    <sheet name="Teaching Plan" sheetId="4" state="visible" r:id="rId6"/>
    <sheet name="Evaluation Method" sheetId="5" state="visible" r:id="rId7"/>
    <sheet name="CLO &amp; PLO Alignment" sheetId="6" state="visible" r:id="rId8"/>
    <sheet name="Rubric Scoring" sheetId="7" state="visible" r:id="rId9"/>
    <sheet name="Session Detail" sheetId="8" state="visible" r:id="rId10"/>
    <sheet name="Assessment Blueprint" sheetId="9" state="visible" r:id="rId11"/>
    <sheet name="Lab &amp; Project Plan" sheetId="10" state="visible" r:id="rId12"/>
    <sheet name="Merge Notes" sheetId="11" state="visible"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Apply version control, data management, and experiment tracking techniques to construct reproducible machine learning workflows.</t>
        </r>
      </text>
    </comment>
    <comment ref="C1" authorId="0">
      <text>
        <r>
          <rPr>
            <sz val="10"/>
            <rFont val="Arial"/>
            <family val="2"/>
          </rPr>
          <t xml:space="preserve">Develop machine learning inference services by integrating model deployment, monitoring, and maintenance practices.</t>
        </r>
      </text>
    </comment>
    <comment ref="D1" authorId="0">
      <text>
        <r>
          <rPr>
            <sz val="10"/>
            <rFont val="Arial"/>
            <family val="2"/>
          </rPr>
          <t xml:space="preserve">Deploy and manage machine learning applications using cloud-based MLOps services.</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E2" authorId="0">
      <text>
        <r>
          <rPr>
            <sz val="10"/>
            <rFont val="Arial"/>
            <family val="2"/>
          </rPr>
          <t xml:space="preserve">Apply version control, data management, and experiment tracking techniques to construct reproducible machine learning workflows.</t>
        </r>
      </text>
    </comment>
    <comment ref="F2" authorId="0">
      <text>
        <r>
          <rPr>
            <sz val="10"/>
            <rFont val="Arial"/>
            <family val="2"/>
          </rPr>
          <t xml:space="preserve">Develop machine learning inference services by integrating model deployment, monitoring, and maintenance practices.</t>
        </r>
      </text>
    </comment>
    <comment ref="G2" authorId="0">
      <text>
        <r>
          <rPr>
            <sz val="10"/>
            <rFont val="Arial"/>
            <family val="2"/>
          </rPr>
          <t xml:space="preserve">Deploy and manage machine learning applications using cloud-based MLOps services.</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Apply version control, data management, and experiment tracking techniques to construct reproducible machine learning workflows.</t>
        </r>
      </text>
    </comment>
    <comment ref="E1" authorId="0">
      <text>
        <r>
          <rPr>
            <sz val="10"/>
            <rFont val="Arial"/>
            <family val="2"/>
          </rPr>
          <t xml:space="preserve">Develop machine learning inference services by integrating model deployment, monitoring, and maintenance practices.</t>
        </r>
      </text>
    </comment>
    <comment ref="F1" authorId="0">
      <text>
        <r>
          <rPr>
            <sz val="10"/>
            <rFont val="Arial"/>
            <family val="2"/>
          </rPr>
          <t xml:space="preserve">Deploy and manage machine learning applications using cloud-based MLOps services.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Solve ICT related problems using critical thinking, problem solving, and ICT disciplinary skills</t>
        </r>
      </text>
    </comment>
    <comment ref="D1" authorId="0">
      <text>
        <r>
          <rPr>
            <sz val="10"/>
            <rFont val="Arial"/>
            <family val="2"/>
          </rPr>
          <t xml:space="preserve">Design a wide range of applications in the real-world using knowledge and skills in one or more specializations including Computer Science (CS), Database Systems (DB), Network and Security (NS), Software Engineering (SE), Health Information Technology (HT), Interactive Multimedia Technology (MT), Information Systems Management (IS), and Artificial Intelligence (AI)</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H3" authorId="0">
      <text>
        <r>
          <rPr>
            <sz val="10"/>
            <rFont val="Arial"/>
            <family val="2"/>
          </rPr>
          <t xml:space="preserve">Max Level * Weight</t>
        </r>
      </text>
    </comment>
  </commentList>
</comments>
</file>

<file path=xl/sharedStrings.xml><?xml version="1.0" encoding="utf-8"?>
<sst xmlns="http://schemas.openxmlformats.org/spreadsheetml/2006/main" count="411" uniqueCount="290">
  <si>
    <t xml:space="preserve">Title</t>
  </si>
  <si>
    <t xml:space="preserve">Description</t>
  </si>
  <si>
    <t xml:space="preserve">Course</t>
  </si>
  <si>
    <t xml:space="preserve">ITCS355 Machine Learning Operation and Deployment</t>
  </si>
  <si>
    <t xml:space="preserve">ทสคพ355 ปฏิบัติการของการเรียนรู้ของเครื่องและการนำไปใช้งาน</t>
  </si>
  <si>
    <t xml:space="preserve">Number of Credits</t>
  </si>
  <si>
    <t xml:space="preserve">1(1-0-2)</t>
  </si>
  <si>
    <t xml:space="preserve">Course Type</t>
  </si>
  <si>
    <t xml:space="preserve">Artificial Intelligence
</t>
  </si>
  <si>
    <t xml:space="preserve">Semester</t>
  </si>
  <si>
    <t xml:space="preserve">1</t>
  </si>
  <si>
    <t xml:space="preserve">Class Level</t>
  </si>
  <si>
    <t xml:space="preserve">4</t>
  </si>
  <si>
    <t xml:space="preserve">Course Description (In English)</t>
  </si>
  <si>
    <t xml:space="preserve">Machine learning pipelines and operations; deploying machine learning models; challenges in maintaining models; application of cloud machine learning models; capstone project related to machine learning</t>
  </si>
  <si>
    <t xml:space="preserve">Course Description (In Thai)</t>
  </si>
  <si>
    <t xml:space="preserve">กระบวนการผลิตและการดำเนินการของการเรียนรู้ของเครื่อง การปรับใช้แบบจำลองการเรียนรู้ของเครื่อง ความท้าทายในการบำรุงรักษาแบบจำลอง การประยุกต์ใช้แบบจำลองการเรียนรู้ของเครื่องบนคลาวด์ โครงการที่เกี่ยวข้องกับการเรียนรู้ของเครื่อง</t>
  </si>
  <si>
    <t xml:space="preserve">Course Objective</t>
  </si>
  <si>
    <t xml:space="preserve">This course aims to 
1. Provide students with the knowledge and practical skills to design, deploy, and operate production-ready machine learning applications using Machine Learning Operations (MLOps) practices. 
2. Learn to construct reproducible machine learning workflows, deploy and monitor machine learning services, and utilize cloud-based MLOps platforms to manage the machine learning lifecycle.</t>
  </si>
  <si>
    <t xml:space="preserve">SDGs</t>
  </si>
  <si>
    <t xml:space="preserve">9 Industry, Innovation and Infrastructure</t>
  </si>
  <si>
    <t xml:space="preserve">Instructor</t>
  </si>
  <si>
    <t xml:space="preserve">Name</t>
  </si>
  <si>
    <t xml:space="preserve">E-mail</t>
  </si>
  <si>
    <t xml:space="preserve">Dr. Pasd Putthapipat</t>
  </si>
  <si>
    <t xml:space="preserve">Pasd.Putthapipat@gmail.com</t>
  </si>
  <si>
    <t xml:space="preserve">NO</t>
  </si>
  <si>
    <t xml:space="preserve">CLO</t>
  </si>
  <si>
    <t xml:space="preserve">PLO</t>
  </si>
  <si>
    <t xml:space="preserve">LEVEL</t>
  </si>
  <si>
    <t xml:space="preserve">TEACHING
METHOD</t>
  </si>
  <si>
    <t xml:space="preserve">TEACHING
PLAN</t>
  </si>
  <si>
    <t xml:space="preserve">EVALUATION
METHOD</t>
  </si>
  <si>
    <t xml:space="preserve">CLO1</t>
  </si>
  <si>
    <t xml:space="preserve">Apply version control, data management, and experiment tracking techniques to construct reproducible machine learning workflows.</t>
  </si>
  <si>
    <t xml:space="preserve">PLO1: Solve ICT related problems using critical thinking, problem solving, and ICT disciplinary skills</t>
  </si>
  <si>
    <t xml:space="preserve">M</t>
  </si>
  <si>
    <t xml:space="preserve">✓</t>
  </si>
  <si>
    <t xml:space="preserve">CLO2</t>
  </si>
  <si>
    <t xml:space="preserve">Develop machine learning inference services by integrating model deployment, monitoring, and maintenance practices.</t>
  </si>
  <si>
    <t xml:space="preserve">SLO1: Design a wide range of applications in the real-world using knowledge and skills in one or more specializations including Computer Science (CS), Database Systems (DB), Network and Security (NS), Software Engineering (SE), Health Information Technology (HT), Interactive Multimedia Technology (MT), Information Systems Management (IS), and Artificial Intelligence (AI)</t>
  </si>
  <si>
    <t xml:space="preserve">CLO3</t>
  </si>
  <si>
    <t xml:space="preserve">Deploy and manage machine learning applications using cloud-based MLOps services.</t>
  </si>
  <si>
    <t xml:space="preserve">TEACHING METHOD</t>
  </si>
  <si>
    <t xml:space="preserve">Interaction-based Lecture</t>
  </si>
  <si>
    <t xml:space="preserve">Lab</t>
  </si>
  <si>
    <t xml:space="preserve">Teaching Lecture Hour : 15</t>
  </si>
  <si>
    <t xml:space="preserve">TOPIC</t>
  </si>
  <si>
    <t xml:space="preserve">LECTURE
(HR)</t>
  </si>
  <si>
    <t xml:space="preserve">LAB
(HR)</t>
  </si>
  <si>
    <t xml:space="preserve">From Notebook to Reproducible ML</t>
  </si>
  <si>
    <t xml:space="preserve">2</t>
  </si>
  <si>
    <t xml:space="preserve">Experiment Tracking and Model Management</t>
  </si>
  <si>
    <t xml:space="preserve">3</t>
  </si>
  <si>
    <t xml:space="preserve">Serving Models</t>
  </si>
  <si>
    <t xml:space="preserve">Operating ML Systems</t>
  </si>
  <si>
    <t xml:space="preserve">5</t>
  </si>
  <si>
    <t xml:space="preserve">Cloud MLOps</t>
  </si>
  <si>
    <t xml:space="preserve">6</t>
  </si>
  <si>
    <t xml:space="preserve">Final Week</t>
  </si>
  <si>
    <t xml:space="preserve">Total</t>
  </si>
  <si>
    <t xml:space="preserve">EVALUATION METHOD</t>
  </si>
  <si>
    <t xml:space="preserve">FULLSCORE</t>
  </si>
  <si>
    <t xml:space="preserve">Project</t>
  </si>
  <si>
    <t xml:space="preserve">Quiz</t>
  </si>
  <si>
    <t xml:space="preserve">Lab Completion</t>
  </si>
  <si>
    <t xml:space="preserve">GRADING SYSTEM</t>
  </si>
  <si>
    <t xml:space="preserve">ABC</t>
  </si>
  <si>
    <t xml:space="preserve">Grade Criteria</t>
  </si>
  <si>
    <t xml:space="preserve">A</t>
  </si>
  <si>
    <t xml:space="preserve">&gt;=</t>
  </si>
  <si>
    <t xml:space="preserve">B+</t>
  </si>
  <si>
    <t xml:space="preserve">B</t>
  </si>
  <si>
    <t xml:space="preserve">C+</t>
  </si>
  <si>
    <t xml:space="preserve">C</t>
  </si>
  <si>
    <t xml:space="preserve">D+</t>
  </si>
  <si>
    <t xml:space="preserve">D</t>
  </si>
  <si>
    <t xml:space="preserve">F</t>
  </si>
  <si>
    <t xml:space="preserve">&lt;</t>
  </si>
  <si>
    <t xml:space="preserve">TOTAL</t>
  </si>
  <si>
    <t xml:space="preserve">PLO1</t>
  </si>
  <si>
    <t xml:space="preserve">SLO1</t>
  </si>
  <si>
    <t xml:space="preserve">CLO 1 Apply version control, data management, and experiment tracking techniques to construct reproducible machine learning workflows.</t>
  </si>
  <si>
    <t xml:space="preserve">-</t>
  </si>
  <si>
    <t xml:space="preserve">CLO 2 Develop machine learning inference services by integrating model deployment, monitoring, and maintenance practices.</t>
  </si>
  <si>
    <t xml:space="preserve">CLO 3 Deploy and manage machine learning applications using cloud-based MLOps services.</t>
  </si>
  <si>
    <t xml:space="preserve">Rubric Name : Project</t>
  </si>
  <si>
    <t xml:space="preserve">Evaluation Method : Project</t>
  </si>
  <si>
    <t xml:space="preserve">CRITERIA NAME</t>
  </si>
  <si>
    <t xml:space="preserve">MAX
LEVEL</t>
  </si>
  <si>
    <t xml:space="preserve">3
</t>
  </si>
  <si>
    <t xml:space="preserve">2
</t>
  </si>
  <si>
    <t xml:space="preserve">1
</t>
  </si>
  <si>
    <t xml:space="preserve">0
</t>
  </si>
  <si>
    <t xml:space="preserve">WEIGHT</t>
  </si>
  <si>
    <t xml:space="preserve">SCORE</t>
  </si>
  <si>
    <t xml:space="preserve">CLO MAPPING</t>
  </si>
  <si>
    <t xml:space="preserve">Project Organization &amp; Reproducibility</t>
  </si>
  <si>
    <t xml:space="preserve">Well-structured project with reproducible workflow, clear documentation, version control, and data/model management.</t>
  </si>
  <si>
    <t xml:space="preserve">Mostly reproducible with minor issues.</t>
  </si>
  <si>
    <t xml:space="preserve">Partial reproducibility; organization needs improvement.</t>
  </si>
  <si>
    <t xml:space="preserve">Poor organization; workflow cannot be reproduced.</t>
  </si>
  <si>
    <t xml:space="preserve">CLO1 (9)</t>
  </si>
  <si>
    <t xml:space="preserve">Experiment Tracking &amp; Model Management</t>
  </si>
  <si>
    <t xml:space="preserve">Experiments are systematically tracked and compared; best model justified and managed appropriately.</t>
  </si>
  <si>
    <t xml:space="preserve">Experiments tracked with minor omissions.</t>
  </si>
  <si>
    <t xml:space="preserve">Limited experiment tracking or weak justification.</t>
  </si>
  <si>
    <t xml:space="preserve">Little or no experiment tracking.</t>
  </si>
  <si>
    <t xml:space="preserve">Model Serving &amp; Deployment</t>
  </si>
  <si>
    <t xml:space="preserve">Fully functional inference service with proper API design, containerization, and deployment.</t>
  </si>
  <si>
    <t xml:space="preserve">Functional deployment with minor issues.</t>
  </si>
  <si>
    <t xml:space="preserve">Partially functional deployment.</t>
  </si>
  <si>
    <t xml:space="preserve">Deployment incomplete or non-functional.</t>
  </si>
  <si>
    <t xml:space="preserve">CLO2 (9)</t>
  </si>
  <si>
    <t xml:space="preserve">Monitoring &amp; Operational Readiness</t>
  </si>
  <si>
    <t xml:space="preserve">Monitoring strategy addresses system health, model performance, and data/model drift; maintenance plan is appropriate.</t>
  </si>
  <si>
    <t xml:space="preserve">Monitoring covers most operational aspects.</t>
  </si>
  <si>
    <t xml:space="preserve">Basic monitoring with limited analysis.</t>
  </si>
  <si>
    <t xml:space="preserve">Minimal or no monitoring considerations.</t>
  </si>
  <si>
    <t xml:space="preserve">CLO2 (5) + CLO3 (4)</t>
  </si>
  <si>
    <t xml:space="preserve">Cloud Deployment &amp; Integration</t>
  </si>
  <si>
    <t xml:space="preserve">Successfully deploys and integrates cloud MLOps services with appropriate architecture and documentation.</t>
  </si>
  <si>
    <t xml:space="preserve">Cloud deployment mostly successful.</t>
  </si>
  <si>
    <t xml:space="preserve">Partial cloud deployment.</t>
  </si>
  <si>
    <t xml:space="preserve">Cloud deployment incomplete or absent.</t>
  </si>
  <si>
    <t xml:space="preserve">CLO3 (9)</t>
  </si>
  <si>
    <t xml:space="preserve">Project full score is 50: this rubric contributes 45, and the live demo and defence contributes 5, scored on the Assessment Blueprint sheet. The rubric itself is unchanged from the faculty template.</t>
  </si>
  <si>
    <t xml:space="preserve">Session-level teaching detail — expands 'Teaching Plan'. Topic names and CLO mapping follow that sheet exactly.</t>
  </si>
  <si>
    <t xml:space="preserve">TOPIC (as per Teaching Plan)</t>
  </si>
  <si>
    <t xml:space="preserve">KEY SUBTOPICS</t>
  </si>
  <si>
    <t xml:space="preserve">IN-CLASS ACTIVITY (3 HR)</t>
  </si>
  <si>
    <t xml:space="preserve">TAKE-HOME (SELF-STUDY)</t>
  </si>
  <si>
    <t xml:space="preserve">EST. HR</t>
  </si>
  <si>
    <t xml:space="preserve">ASSESSED BY</t>
  </si>
  <si>
    <t xml:space="preserve">Why ML systems accumulate technical debt (Sculley et al. 2015); notebook-to-project structure; Git discipline for ML; environment isolation and containers; data versioning and leakage-safe splits</t>
  </si>
  <si>
    <t xml:space="preserve">Reproduce-a-peer's-run exercise (most pairs fail — debrief this); live build of a training Dockerfile; DVC remote setup</t>
  </si>
  <si>
    <t xml:space="preserve">Lab 1 — Reproducible training container</t>
  </si>
  <si>
    <t xml:space="preserve">Lab 1, Quiz 1, Project R1</t>
  </si>
  <si>
    <t xml:space="preserve">Experiment tracking with MLflow: params, metrics, artifacts; comparing and justifying runs; hyperparameter studies under a fixed budget; model registry, versioning, staging-to-production promotion, lineage; serialization pitfalls</t>
  </si>
  <si>
    <t xml:space="preserve">Tracking server walkthrough; budgeted tuning contest scored on cost per point of metric; registry promotion rules</t>
  </si>
  <si>
    <t xml:space="preserve">Lab 2 — Tracked study + registered model</t>
  </si>
  <si>
    <t xml:space="preserve">Lab 2, Quiz 2, Project R2</t>
  </si>
  <si>
    <t xml:space="preserve">CLO2, CLO3</t>
  </si>
  <si>
    <t xml:space="preserve">Batch vs online vs streaming inference; FastAPI service design, schema validation, health checks; containerized serving; latency p50/p95/p99 and load testing; release patterns — canary, blue/green, rollback</t>
  </si>
  <si>
    <t xml:space="preserve">Deploy an endpoint and load-test it; break it via concurrency and payload size; timed rollback drill</t>
  </si>
  <si>
    <t xml:space="preserve">Lab 3 — Deployed endpoint + load-test report</t>
  </si>
  <si>
    <t xml:space="preserve">Lab 3, Quiz 3, Project R3</t>
  </si>
  <si>
    <t xml:space="preserve">Testing ML: unit, data-contract, and model-behaviour tests; CI/CD and continuous training triggers; observability (metrics, logs, traces) and SLOs; data drift vs concept drift vs pipeline breakage; retrain-or-rollback decisions; alert fatigue and AI-assisted anomaly detection on telemetry</t>
  </si>
  <si>
    <t xml:space="preserve">Write a data test that fails the build; wire CI to deploy on green; 50-min incident simulation with an injected fault and a written post-mortem</t>
  </si>
  <si>
    <t xml:space="preserve">Lab 4 — CI/CD + drift monitor + alert</t>
  </si>
  <si>
    <t xml:space="preserve">Lab 4, Quiz 4, Project R4</t>
  </si>
  <si>
    <t xml:space="preserve">Managed platform anatomy (SageMaker / Vertex AI / Azure ML): managed training jobs, model registry, managed endpoints, pipelines; IAM and least privilege; artifact and container registries; managed pipelines for scheduled retraining; cost model, spot and serverless compute, FinOps; brief case on operating managed LLM endpoints (evals, guardrails, token cost)</t>
  </si>
  <si>
    <t xml:space="preserve">Migrate the Lab 3 service onto a managed platform; cost teardown per 1,000 predictions; project consultation clinic</t>
  </si>
  <si>
    <t xml:space="preserve">Lab 5 — Cloud migration + cost report</t>
  </si>
  <si>
    <t xml:space="preserve">Lab 5, Quiz 5, Project R5</t>
  </si>
  <si>
    <t xml:space="preserve">CLO1, CLO2, CLO3</t>
  </si>
  <si>
    <t xml:space="preserve">No new content. Project presentations with live demo and defence. No final examination.</t>
  </si>
  <si>
    <t xml:space="preserve">Project presentation (8 min + 5 min questions); Quiz 5</t>
  </si>
  <si>
    <t xml:space="preserve">Project work and submission (spread across the term)</t>
  </si>
  <si>
    <t xml:space="preserve">Project, Quiz 5</t>
  </si>
  <si>
    <t xml:space="preserve">Total self-study hours</t>
  </si>
  <si>
    <t xml:space="preserve">Workload note: the 1(1-0-2) credit structure allocates a nominal 30 self-study hours over the term. The plan above totals 40 (23 hours of labs plus 17 of project work). Options to close the gap: drop Lab 5 and fold the cloud migration into the project (-5), and trim project scope (-5). A modest overrun is normal for a project-based course, but it should be a deliberate choice rather than an accident.</t>
  </si>
  <si>
    <t xml:space="preserve">Mark allocation by CLO. Every subtotal reconciles to 'Evaluation Method' — see the check rows at the bottom.</t>
  </si>
  <si>
    <t xml:space="preserve">COMPONENT</t>
  </si>
  <si>
    <t xml:space="preserve">INSTRUMENT</t>
  </si>
  <si>
    <t xml:space="preserve">WHEN</t>
  </si>
  <si>
    <t xml:space="preserve">Lab 1 — reproducible training container</t>
  </si>
  <si>
    <t xml:space="preserve">Before Session 2</t>
  </si>
  <si>
    <t xml:space="preserve">Lab 2 — tracked study and registered model</t>
  </si>
  <si>
    <t xml:space="preserve">Before Session 3</t>
  </si>
  <si>
    <t xml:space="preserve">Lab 3 — deployed endpoint and load test</t>
  </si>
  <si>
    <t xml:space="preserve">Before Session 4</t>
  </si>
  <si>
    <t xml:space="preserve">Lab 4 — CI/CD, monitoring and drift alert</t>
  </si>
  <si>
    <t xml:space="preserve">Before Session 5</t>
  </si>
  <si>
    <t xml:space="preserve">Lab 5 — cloud migration and cost report</t>
  </si>
  <si>
    <t xml:space="preserve">Before Final Week</t>
  </si>
  <si>
    <t xml:space="preserve">Quiz 1 — reproducibility, containers, data versioning</t>
  </si>
  <si>
    <t xml:space="preserve">Start of Session 2</t>
  </si>
  <si>
    <t xml:space="preserve">Quiz 2 — experiment tracking, registry, lineage</t>
  </si>
  <si>
    <t xml:space="preserve">Start of Session 3</t>
  </si>
  <si>
    <t xml:space="preserve">Quiz 3 — serving patterns, latency, rollback</t>
  </si>
  <si>
    <t xml:space="preserve">Start of Session 4</t>
  </si>
  <si>
    <t xml:space="preserve">Quiz 4 — testing, observability, drift diagnosis</t>
  </si>
  <si>
    <t xml:space="preserve">Start of Session 5</t>
  </si>
  <si>
    <t xml:space="preserve">Quiz 5 — cloud MLOps services, IAM, cost</t>
  </si>
  <si>
    <t xml:space="preserve">R1 Project Organization and Reproducibility (rubric)</t>
  </si>
  <si>
    <t xml:space="preserve">R2 Experiment Tracking and Model Management (rubric)</t>
  </si>
  <si>
    <t xml:space="preserve">R3 Model Serving and Deployment (rubric)</t>
  </si>
  <si>
    <t xml:space="preserve">R4 Monitoring and Operational Readiness (rubric)</t>
  </si>
  <si>
    <t xml:space="preserve">R5 Cloud Deployment and Integration (rubric)</t>
  </si>
  <si>
    <t xml:space="preserve">Live demo and defence (not on the rubric sheet)</t>
  </si>
  <si>
    <t xml:space="preserve">Lab Completion subtotal</t>
  </si>
  <si>
    <t xml:space="preserve">Quiz subtotal</t>
  </si>
  <si>
    <t xml:space="preserve">Project subtotal</t>
  </si>
  <si>
    <t xml:space="preserve">COURSE TOTAL</t>
  </si>
  <si>
    <t xml:space="preserve">CHECK</t>
  </si>
  <si>
    <t xml:space="preserve">Declared in 'Evaluation Method' (row 5)</t>
  </si>
  <si>
    <t xml:space="preserve">Variance (must be zero)</t>
  </si>
  <si>
    <t xml:space="preserve">Declared in 'CLO &amp; PLO Alignment' (column B)</t>
  </si>
  <si>
    <t xml:space="preserve">Design note: labs are now marked directly (5 marks each, pass/fail against the acceptance criteria in each handout) rather than assessed indirectly through quizzes. Quizzes still carry evidence questions drawn from each student's own lab output, which is what makes copying a lab useless. There is no final examination; the 25 marks it carried have moved to lab completion, and the project has risen from 45 to 50.</t>
  </si>
  <si>
    <t xml:space="preserve">Take-home labs (self-study, 2 hr/week per 1(1-0-2)) and capstone project milestones.</t>
  </si>
  <si>
    <t xml:space="preserve">LAB</t>
  </si>
  <si>
    <t xml:space="preserve">DELIVERABLE</t>
  </si>
  <si>
    <t xml:space="preserve">PASSES WHEN</t>
  </si>
  <si>
    <t xml:space="preserve">DUE</t>
  </si>
  <si>
    <t xml:space="preserve">MARKS</t>
  </si>
  <si>
    <t xml:space="preserve">Lab 1</t>
  </si>
  <si>
    <t xml:space="preserve">Repo with Dockerfile, pinned dependencies, DVC-tracked data, MLflow runs, and a README</t>
  </si>
  <si>
    <t xml:space="preserve">A grader on a different machine runs one command and reproduces the reported metric within tolerance</t>
  </si>
  <si>
    <t xml:space="preserve">Lab 2</t>
  </si>
  <si>
    <t xml:space="preserve">Hyperparameter study of &gt;=12 trials, best model registered with lineage to commit and data version</t>
  </si>
  <si>
    <t xml:space="preserve">The registered model traces to exact code and data; the run comparison justifies the chosen model</t>
  </si>
  <si>
    <t xml:space="preserve">Lab 3</t>
  </si>
  <si>
    <t xml:space="preserve">Deployed inference endpoint, load-test report at three concurrency levels, canary or blue/green config</t>
  </si>
  <si>
    <t xml:space="preserve">The stated p95 latency target is met at the stated concurrency, and rollback evidence shows traffic actually moved</t>
  </si>
  <si>
    <t xml:space="preserve">Lab 4</t>
  </si>
  <si>
    <t xml:space="preserve">CI/CD workflow with data-contract and model-behaviour tests, dashboard, scheduled drift detector, alert</t>
  </si>
  <si>
    <t xml:space="preserve">A deliberately bad commit is blocked, and an injected distribution shift fires a real alert with a written post-mortem</t>
  </si>
  <si>
    <t xml:space="preserve">Lab 5</t>
  </si>
  <si>
    <t xml:space="preserve">The Lab 3 service migrated onto a managed cloud platform, with IAM roles and a cost report</t>
  </si>
  <si>
    <t xml:space="preserve">The service runs on managed infrastructure, resources are torn down, and the cost figure matches billing within 20%</t>
  </si>
  <si>
    <t xml:space="preserve">Total lab hours</t>
  </si>
  <si>
    <t xml:space="preserve">CAPSTONE PROJECT MILESTONES</t>
  </si>
  <si>
    <t xml:space="preserve">STAGE</t>
  </si>
  <si>
    <t xml:space="preserve">WHAT IS DUE</t>
  </si>
  <si>
    <t xml:space="preserve">NOTES</t>
  </si>
  <si>
    <t xml:space="preserve">M1</t>
  </si>
  <si>
    <t xml:space="preserve">Team formed (2-3 students) and problem area chosen</t>
  </si>
  <si>
    <t xml:space="preserve">Teams registered with the instructor</t>
  </si>
  <si>
    <t xml:space="preserve">End of Session 2</t>
  </si>
  <si>
    <t xml:space="preserve">M2</t>
  </si>
  <si>
    <t xml:space="preserve">One-page proposal: problem, dataset and licence, latency and freshness needs, serving pattern, planned failure mode, cost estimate</t>
  </si>
  <si>
    <t xml:space="preserve">Approval required before build starts; unapproved scope is the main cause of failed projects</t>
  </si>
  <si>
    <t xml:space="preserve">End of Session 3</t>
  </si>
  <si>
    <t xml:space="preserve">M3</t>
  </si>
  <si>
    <t xml:space="preserve">Architecture review — pipeline, serving, and monitoring design walked through with the instructor</t>
  </si>
  <si>
    <t xml:space="preserve">15-minute clinic slot during Session 5</t>
  </si>
  <si>
    <t xml:space="preserve">Session 5</t>
  </si>
  <si>
    <t xml:space="preserve">M4</t>
  </si>
  <si>
    <t xml:space="preserve">Presentation with live demo and defence</t>
  </si>
  <si>
    <t xml:space="preserve">8 minutes plus 5 minutes of questions; expect unexpected input to be sent during the demo</t>
  </si>
  <si>
    <t xml:space="preserve">All</t>
  </si>
  <si>
    <t xml:space="preserve">M5</t>
  </si>
  <si>
    <t xml:space="preserve">Final repository submission</t>
  </si>
  <si>
    <t xml:space="preserve">Graded against the five rubric criteria on the 'Rubric Scoring' sheet</t>
  </si>
  <si>
    <t xml:space="preserve">7 days after Final Week</t>
  </si>
  <si>
    <t xml:space="preserve">Total project hours</t>
  </si>
  <si>
    <t xml:space="preserve">Project requirements, in addition to the rubric: versioned data and code; automated reproducible training; registered model with lineage; deployed inference; CI/CD with tests that can fail; monitoring dashboard; at least one working alert; documented cost per 1,000 predictions; a one-page model card; and one deliberate failure the team designed for and can demonstrate. Committing credentials to the repository is an automatic deduction.</t>
  </si>
  <si>
    <t xml:space="preserve">Labs are marked directly at 5 marks each against the acceptance criteria in each handout — a lab either meets them or it does not. The project's 50 marks are the five rubric criteria (45) plus the live demo and defence (5). There is no final examination.</t>
  </si>
  <si>
    <t xml:space="preserve">Change log and open decisions — delete this sheet before submitting to the faculty.</t>
  </si>
  <si>
    <t xml:space="preserve">#</t>
  </si>
  <si>
    <t xml:space="preserve">SHEET</t>
  </si>
  <si>
    <t xml:space="preserve">CHANGE OR ASSUMPTION</t>
  </si>
  <si>
    <t xml:space="preserve">ACTION NEEDED FROM INSTRUCTOR</t>
  </si>
  <si>
    <t xml:space="preserve">Rubric Scoring</t>
  </si>
  <si>
    <t xml:space="preserve">Five descriptor cells (C4, E4, D5, D6, E6) contained text duplicated from the adjacent performance level — for example, level 1 of criterion 1 began with the tail of level 2. Corrected to the intended descriptor only.</t>
  </si>
  <si>
    <t xml:space="preserve">Confirm the corrected wording matches your intent.</t>
  </si>
  <si>
    <t xml:space="preserve">Added column J mapping each criterion to the CLO it evidences: R1 to CLO1, R2 split 6/3 between CLO1 and CLO2, R3 to CLO2, R4 split 3/6 between CLO2 and CLO3, R5 to CLO3. This is what makes the project's 45 marks land exactly on 15/15/15.</t>
  </si>
  <si>
    <t xml:space="preserve">Approve the split, particularly R2 and R4.</t>
  </si>
  <si>
    <t xml:space="preserve">Session Detail</t>
  </si>
  <si>
    <t xml:space="preserve">New sheet. Expands each Teaching Plan topic into subtopics, in-class activity, and take-home work. Topic names and CLO ticks are copied from Teaching Plan without alteration.</t>
  </si>
  <si>
    <t xml:space="preserve">Review subtopic depth against your 3-hour blocks.</t>
  </si>
  <si>
    <t xml:space="preserve">Assessment Blueprint</t>
  </si>
  <si>
    <t xml:space="preserve">New sheet. Allocates Quiz 30, Final Exam 25, and Project 45 across CLOs so the totals reconcile to 38/31/31. Variance check rows must read zero.</t>
  </si>
  <si>
    <t xml:space="preserve">None if variances are zero.</t>
  </si>
  <si>
    <t xml:space="preserve">Lab &amp; Project Plan</t>
  </si>
  <si>
    <t xml:space="preserve">New sheet. Five take-home labs plus five project milestones, mapped to CLOs.</t>
  </si>
  <si>
    <t xml:space="preserve">Confirm lab count — five labs is one per session.</t>
  </si>
  <si>
    <t xml:space="preserve">Teaching Plan</t>
  </si>
  <si>
    <t xml:space="preserve">Not modified. Note that LAB (HR) is 0 across all rows while 'Teaching Method' ticks Lab for all three CLOs. The labs are delivered as self-study under the 1(1-0-2) structure, which is consistent, but a reviewer may query it.</t>
  </si>
  <si>
    <t xml:space="preserve">Consider a footnote on the Teaching Plan sheet stating that lab work is assessed through quizzes and the project.</t>
  </si>
  <si>
    <t xml:space="preserve">Course Information</t>
  </si>
  <si>
    <t xml:space="preserve">Not modified. Cloud platform is not named anywhere in the specification.</t>
  </si>
  <si>
    <t xml:space="preserve">Decide AWS, GCP, or Azure. Session 5 and Lab 5 are written platform-neutral and need one named before materials are finalised.</t>
  </si>
  <si>
    <t xml:space="preserve">Whole workbook</t>
  </si>
  <si>
    <t xml:space="preserve">Planned self-study is 40 hours (23 labs + 17 project) against a nominal 30 in the 1(1-0-2) structure.</t>
  </si>
  <si>
    <t xml:space="preserve">Either accept, drop Lab 5, or move to teams of 3. See the note on 'Session Detail'.</t>
  </si>
  <si>
    <t xml:space="preserve">Evaluation Method</t>
  </si>
  <si>
    <t xml:space="preserve">ASSESSMENT RESTRUCTURED at the instructor's request. Final Exam (25) removed. New split: Project 50, Quiz 25, Lab Completion 25. CLO totals are unchanged at 38/31/31, so 'CLO &amp; PLO Alignment' needed no edit.</t>
  </si>
  <si>
    <t xml:space="preserve">FACULTY APPROVAL LIKELY REQUIRED — removing the final examination changes an approved specification.</t>
  </si>
  <si>
    <t xml:space="preserve">'Lab Completion' is a new evaluation line. Labs were previously unmarked and assessed indirectly through quizzes; they are now marked directly at 5 marks each. This resolves the tension with the Teaching Method sheet, which ticks Lab for all three CLOs.</t>
  </si>
  <si>
    <t xml:space="preserve">Confirm that a directly-marked lab component is acceptable under the 1(1-0-2) structure.</t>
  </si>
  <si>
    <t xml:space="preserve">Unchanged in structure. The rubric scores 45; the remaining 5 project marks are the live demo and defence, scored on the Assessment Blueprint. A 3-level rubric with integer weights cannot total 50, which is why the demo is a separate line rather than a sixth criterion.</t>
  </si>
  <si>
    <t xml:space="preserve">Alternative if you prefer the rubric to carry all 50: change performance levels from 4 to 6 (max level 5, weight 2 per criterion). That rewrites every descriptor.</t>
  </si>
  <si>
    <t xml:space="preserve">Column J CLO mapping updated for the new project weighting: R1 CLO1 9, R2 CLO1 9, R3 CLO2 9, R4 CLO2 5 + CLO3 4, R5 CLO3 9, demo CLO1 2 + CLO2 2 + CLO3 1.</t>
  </si>
  <si>
    <t xml:space="preserve">Instructor specified 'Quiz (5x6) 25'. Five quizzes of six marks total 30, not 25. Implemented as 5 quizzes x 5 marks = 25, because 50 + 25 + 25 = 100 exactly.</t>
  </si>
  <si>
    <t xml:space="preserve">Confirm 5 marks per quiz, or restate the intended quiz weight.</t>
  </si>
  <si>
    <t xml:space="preserve">Grading load</t>
  </si>
  <si>
    <t xml:space="preserve">Marking five labs directly is a substantial increase over the previous indirect model — roughly 15 minutes per student per lab if graded by cloning and running.</t>
  </si>
  <si>
    <t xml:space="preserve">For a cohort of 40 this is about 50 hours across the term. Budget TA time or automate with the scripts in instructor/.</t>
  </si>
</sst>
</file>

<file path=xl/styles.xml><?xml version="1.0" encoding="utf-8"?>
<styleSheet xmlns="http://schemas.openxmlformats.org/spreadsheetml/2006/main">
  <numFmts count="4">
    <numFmt numFmtId="164" formatCode="General"/>
    <numFmt numFmtId="165" formatCode="0"/>
    <numFmt numFmtId="166" formatCode="General"/>
    <numFmt numFmtId="167" formatCode="0.00"/>
  </numFmts>
  <fonts count="8">
    <font>
      <sz val="11"/>
      <name val="Calibri"/>
      <family val="0"/>
      <charset val="1"/>
    </font>
    <font>
      <sz val="10"/>
      <name val="Arial"/>
      <family val="0"/>
    </font>
    <font>
      <sz val="10"/>
      <name val="Arial"/>
      <family val="0"/>
    </font>
    <font>
      <sz val="10"/>
      <name val="Arial"/>
      <family val="0"/>
    </font>
    <font>
      <sz val="14"/>
      <name val="TH Sarabun New"/>
      <family val="0"/>
      <charset val="1"/>
    </font>
    <font>
      <b val="true"/>
      <sz val="14"/>
      <name val="TH Sarabun New"/>
      <family val="0"/>
      <charset val="1"/>
    </font>
    <font>
      <sz val="10"/>
      <name val="Arial"/>
      <family val="2"/>
    </font>
    <font>
      <i val="true"/>
      <sz val="14"/>
      <name val="TH Sarabun New"/>
      <family val="0"/>
      <charset val="1"/>
    </font>
  </fonts>
  <fills count="6">
    <fill>
      <patternFill patternType="none"/>
    </fill>
    <fill>
      <patternFill patternType="gray125"/>
    </fill>
    <fill>
      <patternFill patternType="solid">
        <fgColor rgb="FFD3D3D3"/>
        <bgColor rgb="FFECECEC"/>
      </patternFill>
    </fill>
    <fill>
      <patternFill patternType="solid">
        <fgColor rgb="FFECECEC"/>
        <bgColor rgb="FFEFEFEF"/>
      </patternFill>
    </fill>
    <fill>
      <patternFill patternType="solid">
        <fgColor rgb="FFFFF2CC"/>
        <bgColor rgb="FFEFEFEF"/>
      </patternFill>
    </fill>
    <fill>
      <patternFill patternType="solid">
        <fgColor rgb="FFEFEFEF"/>
        <bgColor rgb="FFECECEC"/>
      </patternFill>
    </fill>
  </fills>
  <borders count="2">
    <border diagonalUp="false" diagonalDown="false">
      <left/>
      <right/>
      <top/>
      <bottom/>
      <diagonal/>
    </border>
    <border diagonalUp="false" diagonalDown="false">
      <left style="thin">
        <color rgb="FFB0B0B0"/>
      </left>
      <right style="thin">
        <color rgb="FFB0B0B0"/>
      </right>
      <top style="thin">
        <color rgb="FFB0B0B0"/>
      </top>
      <bottom style="thin">
        <color rgb="FFB0B0B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center" vertical="top" textRotation="0" wrapText="true" indent="0" shrinkToFit="false"/>
      <protection locked="true" hidden="false"/>
    </xf>
    <xf numFmtId="164" fontId="5" fillId="2" borderId="0" xfId="0" applyFont="true" applyBorder="true" applyAlignment="true" applyProtection="false">
      <alignment horizontal="center"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center"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5" fontId="4" fillId="0" borderId="0" xfId="0" applyFont="true" applyBorder="false" applyAlignment="true" applyProtection="false">
      <alignment horizontal="center" vertical="top" textRotation="0" wrapText="true" indent="0" shrinkToFit="false"/>
      <protection locked="true" hidden="false"/>
    </xf>
    <xf numFmtId="164" fontId="5" fillId="3" borderId="0" xfId="0" applyFont="true" applyBorder="true" applyAlignment="true" applyProtection="false">
      <alignment horizontal="right" vertical="top" textRotation="0" wrapText="true" indent="2" shrinkToFit="false"/>
      <protection locked="true" hidden="false"/>
    </xf>
    <xf numFmtId="166" fontId="5" fillId="3" borderId="0" xfId="0" applyFont="true" applyBorder="false" applyAlignment="true" applyProtection="false">
      <alignment horizontal="center" vertical="top" textRotation="0" wrapText="true" indent="0" shrinkToFit="false"/>
      <protection locked="true" hidden="false"/>
    </xf>
    <xf numFmtId="167" fontId="4" fillId="0" borderId="0" xfId="0" applyFont="true" applyBorder="false" applyAlignment="true" applyProtection="false">
      <alignment horizontal="center" vertical="top" textRotation="0" wrapText="true" indent="0" shrinkToFit="false"/>
      <protection locked="true" hidden="false"/>
    </xf>
    <xf numFmtId="167" fontId="5" fillId="3" borderId="0" xfId="0" applyFont="true" applyBorder="false" applyAlignment="true" applyProtection="false">
      <alignment horizontal="center" vertical="top" textRotation="0" wrapText="true" indent="0" shrinkToFit="false"/>
      <protection locked="true" hidden="false"/>
    </xf>
    <xf numFmtId="164" fontId="5" fillId="2" borderId="0" xfId="0" applyFont="true" applyBorder="true" applyAlignment="true" applyProtection="false">
      <alignment horizontal="right" vertical="top" textRotation="0" wrapText="true" indent="2" shrinkToFit="false"/>
      <protection locked="true" hidden="false"/>
    </xf>
    <xf numFmtId="164" fontId="5" fillId="0" borderId="0" xfId="0" applyFont="true" applyBorder="true" applyAlignment="true" applyProtection="false">
      <alignment horizontal="general" vertical="top" textRotation="0" wrapText="true" indent="2" shrinkToFit="false"/>
      <protection locked="true" hidden="false"/>
    </xf>
    <xf numFmtId="164" fontId="4" fillId="3" borderId="0" xfId="0" applyFont="true" applyBorder="true" applyAlignment="true" applyProtection="false">
      <alignment horizontal="right" vertical="top" textRotation="0" wrapText="true" indent="2" shrinkToFit="false"/>
      <protection locked="true" hidden="false"/>
    </xf>
    <xf numFmtId="167" fontId="5" fillId="0" borderId="0" xfId="0" applyFont="true" applyBorder="false" applyAlignment="true" applyProtection="false">
      <alignment horizontal="center" vertical="top" textRotation="0" wrapText="true" indent="0" shrinkToFit="false"/>
      <protection locked="true" hidden="false"/>
    </xf>
    <xf numFmtId="164" fontId="5" fillId="3" borderId="0" xfId="0" applyFont="true" applyBorder="false" applyAlignment="true" applyProtection="false">
      <alignment horizontal="right" vertical="top" textRotation="0" wrapText="true" indent="2" shrinkToFit="false"/>
      <protection locked="true" hidden="false"/>
    </xf>
    <xf numFmtId="164" fontId="5" fillId="2" borderId="1" xfId="0" applyFont="true" applyBorder="true" applyAlignment="true" applyProtection="false">
      <alignment horizontal="center" vertical="top" textRotation="0" wrapText="true" indent="0" shrinkToFit="false"/>
      <protection locked="true" hidden="false"/>
    </xf>
    <xf numFmtId="164" fontId="4" fillId="0" borderId="1" xfId="0" applyFont="true" applyBorder="true" applyAlignment="true" applyProtection="false">
      <alignment horizontal="center" vertical="top" textRotation="0" wrapText="true" indent="0" shrinkToFit="false"/>
      <protection locked="true" hidden="false"/>
    </xf>
    <xf numFmtId="164" fontId="5" fillId="0" borderId="0" xfId="0" applyFont="true" applyBorder="true" applyAlignment="true" applyProtection="false">
      <alignment horizontal="right" vertical="top" textRotation="0" wrapText="true" indent="2" shrinkToFit="false"/>
      <protection locked="true" hidden="false"/>
    </xf>
    <xf numFmtId="164" fontId="7" fillId="4" borderId="1" xfId="0" applyFont="true" applyBorder="tru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left" vertical="top" textRotation="0" wrapText="true" indent="0" shrinkToFit="false"/>
      <protection locked="true" hidden="false"/>
    </xf>
    <xf numFmtId="164" fontId="5" fillId="5" borderId="1" xfId="0" applyFont="true" applyBorder="true" applyAlignment="true" applyProtection="false">
      <alignment horizontal="left" vertical="top" textRotation="0" wrapText="true" indent="0" shrinkToFit="false"/>
      <protection locked="true" hidden="false"/>
    </xf>
    <xf numFmtId="166" fontId="5" fillId="5" borderId="1" xfId="0" applyFont="true" applyBorder="true" applyAlignment="true" applyProtection="false">
      <alignment horizontal="center" vertical="top" textRotation="0" wrapText="true" indent="0" shrinkToFit="false"/>
      <protection locked="true" hidden="false"/>
    </xf>
    <xf numFmtId="164" fontId="7" fillId="4" borderId="0"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left"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7" fontId="5" fillId="0" borderId="1" xfId="0" applyFont="true" applyBorder="true" applyAlignment="true" applyProtection="false">
      <alignment horizontal="center"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FEFEF"/>
      <rgbColor rgb="FFFF0000"/>
      <rgbColor rgb="FF00FF00"/>
      <rgbColor rgb="FF0000FF"/>
      <rgbColor rgb="FFFFFF00"/>
      <rgbColor rgb="FFFF00FF"/>
      <rgbColor rgb="FF00FFFF"/>
      <rgbColor rgb="FF800000"/>
      <rgbColor rgb="FF008000"/>
      <rgbColor rgb="FF000080"/>
      <rgbColor rgb="FF808000"/>
      <rgbColor rgb="FF800080"/>
      <rgbColor rgb="FF008080"/>
      <rgbColor rgb="FFB0B0B0"/>
      <rgbColor rgb="FF808080"/>
      <rgbColor rgb="FF9999FF"/>
      <rgbColor rgb="FF993366"/>
      <rgbColor rgb="FFFFF2CC"/>
      <rgbColor rgb="FFECECEC"/>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9.1484375" defaultRowHeight="15" zeroHeight="false" outlineLevelRow="0" outlineLevelCol="0"/>
  <cols>
    <col collapsed="false" customWidth="true" hidden="false" outlineLevel="0" max="1" min="1" style="1" width="30"/>
    <col collapsed="false" customWidth="true" hidden="false" outlineLevel="0" max="3" min="2" style="1" width="40"/>
    <col collapsed="false" customWidth="true" hidden="false" outlineLevel="0" max="4" min="4" style="1" width="80"/>
    <col collapsed="false" customWidth="false" hidden="false" outlineLevel="0" max="16384" min="5" style="1" width="9.14"/>
  </cols>
  <sheetData>
    <row r="1" customFormat="false" ht="17.25" hidden="false" customHeight="true" outlineLevel="0" collapsed="false">
      <c r="A1" s="2" t="s">
        <v>0</v>
      </c>
      <c r="B1" s="3" t="s">
        <v>1</v>
      </c>
      <c r="C1" s="3"/>
      <c r="D1" s="3"/>
    </row>
    <row r="2" customFormat="false" ht="17.25" hidden="false" customHeight="true" outlineLevel="0" collapsed="false">
      <c r="A2" s="4" t="s">
        <v>2</v>
      </c>
      <c r="B2" s="4" t="s">
        <v>3</v>
      </c>
      <c r="C2" s="4"/>
      <c r="D2" s="4"/>
    </row>
    <row r="3" customFormat="false" ht="17.25" hidden="false" customHeight="true" outlineLevel="0" collapsed="false">
      <c r="A3" s="4"/>
      <c r="B3" s="4" t="s">
        <v>4</v>
      </c>
      <c r="C3" s="4"/>
      <c r="D3" s="4"/>
    </row>
    <row r="4" customFormat="false" ht="17.25" hidden="false" customHeight="true" outlineLevel="0" collapsed="false">
      <c r="A4" s="1" t="s">
        <v>5</v>
      </c>
      <c r="B4" s="4" t="s">
        <v>6</v>
      </c>
      <c r="C4" s="4"/>
      <c r="D4" s="4"/>
    </row>
    <row r="5" customFormat="false" ht="33.75" hidden="false" customHeight="true" outlineLevel="0" collapsed="false">
      <c r="A5" s="1" t="s">
        <v>7</v>
      </c>
      <c r="B5" s="4" t="s">
        <v>8</v>
      </c>
      <c r="C5" s="4"/>
      <c r="D5" s="4"/>
    </row>
    <row r="6" customFormat="false" ht="17.25" hidden="false" customHeight="true" outlineLevel="0" collapsed="false">
      <c r="A6" s="1" t="s">
        <v>9</v>
      </c>
      <c r="B6" s="4" t="s">
        <v>10</v>
      </c>
      <c r="C6" s="4"/>
      <c r="D6" s="4"/>
    </row>
    <row r="7" customFormat="false" ht="17.25" hidden="false" customHeight="true" outlineLevel="0" collapsed="false">
      <c r="A7" s="1" t="s">
        <v>11</v>
      </c>
      <c r="B7" s="4" t="s">
        <v>12</v>
      </c>
      <c r="C7" s="4"/>
      <c r="D7" s="4"/>
    </row>
    <row r="8" customFormat="false" ht="150" hidden="false" customHeight="true" outlineLevel="0" collapsed="false">
      <c r="A8" s="1" t="s">
        <v>13</v>
      </c>
      <c r="B8" s="4" t="s">
        <v>14</v>
      </c>
      <c r="C8" s="4"/>
      <c r="D8" s="4"/>
    </row>
    <row r="9" customFormat="false" ht="150" hidden="false" customHeight="true" outlineLevel="0" collapsed="false">
      <c r="A9" s="1" t="s">
        <v>15</v>
      </c>
      <c r="B9" s="4" t="s">
        <v>16</v>
      </c>
      <c r="C9" s="4"/>
      <c r="D9" s="4"/>
    </row>
    <row r="10" customFormat="false" ht="150" hidden="false" customHeight="true" outlineLevel="0" collapsed="false">
      <c r="A10" s="1" t="s">
        <v>17</v>
      </c>
      <c r="B10" s="4" t="s">
        <v>18</v>
      </c>
      <c r="C10" s="4"/>
      <c r="D10" s="4"/>
    </row>
    <row r="11" customFormat="false" ht="17.25" hidden="false" customHeight="true" outlineLevel="0" collapsed="false">
      <c r="A11" s="1" t="s">
        <v>19</v>
      </c>
      <c r="B11" s="4" t="s">
        <v>20</v>
      </c>
      <c r="C11" s="4"/>
      <c r="D11" s="4"/>
    </row>
    <row r="12" customFormat="false" ht="17.25" hidden="false" customHeight="true" outlineLevel="0" collapsed="false">
      <c r="A12" s="4" t="s">
        <v>21</v>
      </c>
      <c r="B12" s="2" t="s">
        <v>22</v>
      </c>
      <c r="C12" s="2" t="s">
        <v>23</v>
      </c>
    </row>
    <row r="13" customFormat="false" ht="33.75" hidden="false" customHeight="true" outlineLevel="0" collapsed="false">
      <c r="A13" s="4"/>
      <c r="B13" s="1" t="s">
        <v>24</v>
      </c>
      <c r="C13" s="1" t="s">
        <v>25</v>
      </c>
    </row>
  </sheetData>
  <mergeCells count="13">
    <mergeCell ref="B1:D1"/>
    <mergeCell ref="A2:A3"/>
    <mergeCell ref="B2:D2"/>
    <mergeCell ref="B3:D3"/>
    <mergeCell ref="B4:D4"/>
    <mergeCell ref="B5:D5"/>
    <mergeCell ref="B6:D6"/>
    <mergeCell ref="B7:D7"/>
    <mergeCell ref="B8:D8"/>
    <mergeCell ref="B9:D9"/>
    <mergeCell ref="B10:D10"/>
    <mergeCell ref="B11:D11"/>
    <mergeCell ref="A12:A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484375" defaultRowHeight="15" zeroHeight="false" outlineLevelRow="0" outlineLevelCol="0"/>
  <cols>
    <col collapsed="false" customWidth="true" hidden="false" outlineLevel="0" max="1" min="1" style="1" width="10"/>
    <col collapsed="false" customWidth="true" hidden="false" outlineLevel="0" max="2" min="2" style="1" width="60"/>
    <col collapsed="false" customWidth="true" hidden="false" outlineLevel="0" max="3" min="3" style="1" width="90"/>
    <col collapsed="false" customWidth="true" hidden="false" outlineLevel="0" max="7" min="4" style="1" width="15"/>
    <col collapsed="false" customWidth="false" hidden="false" outlineLevel="0" max="16384" min="8" style="1" width="9.14"/>
  </cols>
  <sheetData>
    <row r="1" customFormat="false" ht="50.25" hidden="false" customHeight="true" outlineLevel="0" collapsed="false">
      <c r="A1" s="2" t="s">
        <v>26</v>
      </c>
      <c r="B1" s="2" t="s">
        <v>27</v>
      </c>
      <c r="C1" s="2" t="s">
        <v>28</v>
      </c>
      <c r="D1" s="2" t="s">
        <v>29</v>
      </c>
      <c r="E1" s="2" t="s">
        <v>30</v>
      </c>
      <c r="F1" s="2" t="s">
        <v>31</v>
      </c>
      <c r="G1" s="2" t="s">
        <v>32</v>
      </c>
    </row>
    <row r="2" customFormat="false" ht="66.75" hidden="false" customHeight="true" outlineLevel="0" collapsed="false">
      <c r="A2" s="5" t="s">
        <v>33</v>
      </c>
      <c r="B2" s="1" t="s">
        <v>34</v>
      </c>
      <c r="C2" s="1" t="s">
        <v>35</v>
      </c>
      <c r="D2" s="5" t="s">
        <v>36</v>
      </c>
      <c r="E2" s="5" t="s">
        <v>37</v>
      </c>
      <c r="F2" s="5" t="s">
        <v>37</v>
      </c>
      <c r="G2" s="5" t="s">
        <v>37</v>
      </c>
    </row>
    <row r="3" customFormat="false" ht="116.25" hidden="false" customHeight="true" outlineLevel="0" collapsed="false">
      <c r="A3" s="5" t="s">
        <v>38</v>
      </c>
      <c r="B3" s="1" t="s">
        <v>39</v>
      </c>
      <c r="C3" s="1" t="s">
        <v>40</v>
      </c>
      <c r="D3" s="5" t="s">
        <v>36</v>
      </c>
      <c r="E3" s="5" t="s">
        <v>37</v>
      </c>
      <c r="F3" s="5" t="s">
        <v>37</v>
      </c>
      <c r="G3" s="5" t="s">
        <v>37</v>
      </c>
    </row>
    <row r="4" customFormat="false" ht="116.25" hidden="false" customHeight="true" outlineLevel="0" collapsed="false">
      <c r="A4" s="5" t="s">
        <v>41</v>
      </c>
      <c r="B4" s="1" t="s">
        <v>42</v>
      </c>
      <c r="C4" s="1" t="s">
        <v>40</v>
      </c>
      <c r="D4" s="5" t="s">
        <v>36</v>
      </c>
      <c r="E4" s="5" t="s">
        <v>37</v>
      </c>
      <c r="F4" s="5" t="s">
        <v>37</v>
      </c>
      <c r="G4" s="5" t="s">
        <v>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484375" defaultRowHeight="15" zeroHeight="false" outlineLevelRow="0" outlineLevelCol="0"/>
  <cols>
    <col collapsed="false" customWidth="true" hidden="false" outlineLevel="0" max="1" min="1" style="1" width="80"/>
    <col collapsed="false" customWidth="true" hidden="false" outlineLevel="0" max="4" min="2" style="1" width="15"/>
    <col collapsed="false" customWidth="false" hidden="false" outlineLevel="0" max="16384" min="5" style="1" width="9.14"/>
  </cols>
  <sheetData>
    <row r="1" customFormat="false" ht="17.25" hidden="false" customHeight="true" outlineLevel="0" collapsed="false">
      <c r="A1" s="2" t="s">
        <v>43</v>
      </c>
      <c r="B1" s="2" t="s">
        <v>33</v>
      </c>
      <c r="C1" s="2" t="s">
        <v>38</v>
      </c>
      <c r="D1" s="2" t="s">
        <v>41</v>
      </c>
    </row>
    <row r="2" customFormat="false" ht="17.25" hidden="false" customHeight="true" outlineLevel="0" collapsed="false">
      <c r="A2" s="1" t="s">
        <v>44</v>
      </c>
      <c r="B2" s="5" t="s">
        <v>37</v>
      </c>
      <c r="C2" s="5" t="s">
        <v>37</v>
      </c>
      <c r="D2" s="5" t="s">
        <v>37</v>
      </c>
    </row>
    <row r="3" customFormat="false" ht="17.25" hidden="false" customHeight="true" outlineLevel="0" collapsed="false">
      <c r="A3" s="1" t="s">
        <v>45</v>
      </c>
      <c r="B3" s="5" t="s">
        <v>37</v>
      </c>
      <c r="C3" s="5" t="s">
        <v>37</v>
      </c>
      <c r="D3" s="5" t="s">
        <v>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484375" defaultRowHeight="15" zeroHeight="false" outlineLevelRow="0" outlineLevelCol="0"/>
  <cols>
    <col collapsed="false" customWidth="true" hidden="false" outlineLevel="0" max="1" min="1" style="1" width="10"/>
    <col collapsed="false" customWidth="true" hidden="false" outlineLevel="0" max="2" min="2" style="1" width="80"/>
    <col collapsed="false" customWidth="true" hidden="false" outlineLevel="0" max="3" min="3" style="1" width="15"/>
    <col collapsed="false" customWidth="false" hidden="true" outlineLevel="0" max="4" min="4" style="1" width="9.14"/>
    <col collapsed="false" customWidth="true" hidden="false" outlineLevel="0" max="7" min="5" style="1" width="15"/>
    <col collapsed="false" customWidth="false" hidden="false" outlineLevel="0" max="16384" min="8" style="1" width="9.14"/>
  </cols>
  <sheetData>
    <row r="1" customFormat="false" ht="17.25" hidden="false" customHeight="true" outlineLevel="0" collapsed="false">
      <c r="A1" s="6" t="s">
        <v>46</v>
      </c>
      <c r="B1" s="6"/>
      <c r="C1" s="6"/>
    </row>
    <row r="2" customFormat="false" ht="33.75" hidden="false" customHeight="true" outlineLevel="0" collapsed="false">
      <c r="A2" s="2" t="s">
        <v>26</v>
      </c>
      <c r="B2" s="2" t="s">
        <v>47</v>
      </c>
      <c r="C2" s="2" t="s">
        <v>48</v>
      </c>
      <c r="D2" s="2" t="s">
        <v>49</v>
      </c>
      <c r="E2" s="2" t="s">
        <v>33</v>
      </c>
      <c r="F2" s="2" t="s">
        <v>38</v>
      </c>
      <c r="G2" s="2" t="s">
        <v>41</v>
      </c>
    </row>
    <row r="3" customFormat="false" ht="17.25" hidden="false" customHeight="true" outlineLevel="0" collapsed="false">
      <c r="A3" s="5" t="s">
        <v>10</v>
      </c>
      <c r="B3" s="1" t="s">
        <v>50</v>
      </c>
      <c r="C3" s="7" t="n">
        <v>3</v>
      </c>
      <c r="D3" s="7" t="n">
        <v>0</v>
      </c>
      <c r="E3" s="5" t="s">
        <v>37</v>
      </c>
      <c r="F3" s="5"/>
      <c r="G3" s="5"/>
    </row>
    <row r="4" customFormat="false" ht="17.25" hidden="false" customHeight="true" outlineLevel="0" collapsed="false">
      <c r="A4" s="5" t="s">
        <v>51</v>
      </c>
      <c r="B4" s="1" t="s">
        <v>52</v>
      </c>
      <c r="C4" s="7" t="n">
        <v>3</v>
      </c>
      <c r="D4" s="7" t="n">
        <v>0</v>
      </c>
      <c r="E4" s="5" t="s">
        <v>37</v>
      </c>
      <c r="F4" s="5"/>
      <c r="G4" s="5"/>
    </row>
    <row r="5" customFormat="false" ht="17.25" hidden="false" customHeight="true" outlineLevel="0" collapsed="false">
      <c r="A5" s="5" t="s">
        <v>53</v>
      </c>
      <c r="B5" s="1" t="s">
        <v>54</v>
      </c>
      <c r="C5" s="7" t="n">
        <v>3</v>
      </c>
      <c r="D5" s="7" t="n">
        <v>0</v>
      </c>
      <c r="E5" s="5"/>
      <c r="F5" s="5" t="s">
        <v>37</v>
      </c>
      <c r="G5" s="5" t="s">
        <v>37</v>
      </c>
    </row>
    <row r="6" customFormat="false" ht="17.25" hidden="false" customHeight="true" outlineLevel="0" collapsed="false">
      <c r="A6" s="5" t="s">
        <v>12</v>
      </c>
      <c r="B6" s="1" t="s">
        <v>55</v>
      </c>
      <c r="C6" s="7" t="n">
        <v>3</v>
      </c>
      <c r="D6" s="7" t="n">
        <v>0</v>
      </c>
      <c r="E6" s="5"/>
      <c r="F6" s="5" t="s">
        <v>37</v>
      </c>
      <c r="G6" s="5" t="s">
        <v>37</v>
      </c>
    </row>
    <row r="7" customFormat="false" ht="17.25" hidden="false" customHeight="true" outlineLevel="0" collapsed="false">
      <c r="A7" s="5" t="s">
        <v>56</v>
      </c>
      <c r="B7" s="1" t="s">
        <v>57</v>
      </c>
      <c r="C7" s="7" t="n">
        <v>3</v>
      </c>
      <c r="D7" s="7" t="n">
        <v>0</v>
      </c>
      <c r="E7" s="5"/>
      <c r="F7" s="5" t="s">
        <v>37</v>
      </c>
      <c r="G7" s="5" t="s">
        <v>37</v>
      </c>
    </row>
    <row r="8" customFormat="false" ht="17.25" hidden="false" customHeight="true" outlineLevel="0" collapsed="false">
      <c r="A8" s="2" t="s">
        <v>58</v>
      </c>
      <c r="B8" s="3" t="s">
        <v>59</v>
      </c>
      <c r="C8" s="3"/>
      <c r="D8" s="3"/>
      <c r="E8" s="3"/>
      <c r="F8" s="3"/>
      <c r="G8" s="3"/>
    </row>
    <row r="9" customFormat="false" ht="17.25" hidden="false" customHeight="true" outlineLevel="0" collapsed="false">
      <c r="A9" s="8" t="s">
        <v>60</v>
      </c>
      <c r="B9" s="8"/>
      <c r="C9" s="9" t="n">
        <f aca="false">SUM(C3:C8)</f>
        <v>15</v>
      </c>
      <c r="D9" s="9" t="n">
        <f aca="false">SUM(D3:D8)</f>
        <v>0</v>
      </c>
      <c r="E9" s="9"/>
      <c r="F9" s="9"/>
      <c r="G9" s="9"/>
    </row>
  </sheetData>
  <mergeCells count="3">
    <mergeCell ref="A1:C1"/>
    <mergeCell ref="B8:G8"/>
    <mergeCell ref="A9:B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484375" defaultRowHeight="15" zeroHeight="false" outlineLevelRow="0" outlineLevelCol="0"/>
  <cols>
    <col collapsed="false" customWidth="true" hidden="false" outlineLevel="0" max="1" min="1" style="1" width="10"/>
    <col collapsed="false" customWidth="true" hidden="false" outlineLevel="0" max="2" min="2" style="1" width="80"/>
    <col collapsed="false" customWidth="true" hidden="false" outlineLevel="0" max="6" min="3" style="1" width="15"/>
    <col collapsed="false" customWidth="false" hidden="false" outlineLevel="0" max="16384" min="7" style="1" width="9.14"/>
  </cols>
  <sheetData>
    <row r="1" customFormat="false" ht="33.75" hidden="false" customHeight="true" outlineLevel="0" collapsed="false">
      <c r="A1" s="2" t="s">
        <v>26</v>
      </c>
      <c r="B1" s="2" t="s">
        <v>61</v>
      </c>
      <c r="C1" s="2" t="s">
        <v>62</v>
      </c>
      <c r="D1" s="2" t="s">
        <v>33</v>
      </c>
      <c r="E1" s="2" t="s">
        <v>38</v>
      </c>
      <c r="F1" s="2" t="s">
        <v>41</v>
      </c>
    </row>
    <row r="2" customFormat="false" ht="17.25" hidden="false" customHeight="true" outlineLevel="0" collapsed="false">
      <c r="A2" s="1" t="n">
        <v>1</v>
      </c>
      <c r="B2" s="1" t="s">
        <v>63</v>
      </c>
      <c r="C2" s="10" t="n">
        <v>50</v>
      </c>
      <c r="D2" s="10" t="n">
        <v>20</v>
      </c>
      <c r="E2" s="10" t="n">
        <v>16</v>
      </c>
      <c r="F2" s="10" t="n">
        <v>14</v>
      </c>
    </row>
    <row r="3" customFormat="false" ht="17.25" hidden="false" customHeight="true" outlineLevel="0" collapsed="false">
      <c r="A3" s="1" t="n">
        <v>2</v>
      </c>
      <c r="B3" s="1" t="s">
        <v>64</v>
      </c>
      <c r="C3" s="10" t="n">
        <v>25</v>
      </c>
      <c r="D3" s="10" t="n">
        <v>8</v>
      </c>
      <c r="E3" s="10" t="n">
        <v>8</v>
      </c>
      <c r="F3" s="10" t="n">
        <v>9</v>
      </c>
    </row>
    <row r="4" customFormat="false" ht="17.25" hidden="false" customHeight="true" outlineLevel="0" collapsed="false">
      <c r="A4" s="1" t="n">
        <v>3</v>
      </c>
      <c r="B4" s="1" t="s">
        <v>65</v>
      </c>
      <c r="C4" s="10" t="n">
        <v>25</v>
      </c>
      <c r="D4" s="10" t="n">
        <v>10</v>
      </c>
      <c r="E4" s="10" t="n">
        <v>7</v>
      </c>
      <c r="F4" s="10" t="n">
        <v>8</v>
      </c>
    </row>
    <row r="5" customFormat="false" ht="17.25" hidden="false" customHeight="true" outlineLevel="0" collapsed="false">
      <c r="A5" s="8" t="s">
        <v>60</v>
      </c>
      <c r="B5" s="8"/>
      <c r="C5" s="11" t="n">
        <f aca="false">SUM(C2:C4)</f>
        <v>100</v>
      </c>
      <c r="D5" s="11" t="n">
        <f aca="false">SUM(D2:D4)</f>
        <v>38</v>
      </c>
      <c r="E5" s="11" t="n">
        <f aca="false">SUM(E2:E4)</f>
        <v>31</v>
      </c>
      <c r="F5" s="11" t="n">
        <f aca="false">SUM(F2:F4)</f>
        <v>31</v>
      </c>
    </row>
    <row r="6" customFormat="false" ht="17.25" hidden="false" customHeight="true" outlineLevel="0" collapsed="false"/>
    <row r="7" customFormat="false" ht="17.25" hidden="false" customHeight="true" outlineLevel="0" collapsed="false">
      <c r="A7" s="12" t="s">
        <v>66</v>
      </c>
      <c r="B7" s="12"/>
      <c r="C7" s="13" t="s">
        <v>67</v>
      </c>
      <c r="D7" s="13"/>
      <c r="E7" s="13"/>
    </row>
    <row r="8" customFormat="false" ht="17.25" hidden="false" customHeight="true" outlineLevel="0" collapsed="false">
      <c r="A8" s="14" t="s">
        <v>68</v>
      </c>
      <c r="B8" s="14"/>
      <c r="C8" s="5" t="s">
        <v>69</v>
      </c>
      <c r="D8" s="5" t="s">
        <v>70</v>
      </c>
      <c r="E8" s="5" t="n">
        <v>80</v>
      </c>
    </row>
    <row r="9" customFormat="false" ht="17.25" hidden="false" customHeight="true" outlineLevel="0" collapsed="false">
      <c r="A9" s="14"/>
      <c r="B9" s="14"/>
      <c r="C9" s="5" t="s">
        <v>71</v>
      </c>
      <c r="D9" s="5" t="s">
        <v>70</v>
      </c>
      <c r="E9" s="5" t="n">
        <v>75</v>
      </c>
    </row>
    <row r="10" customFormat="false" ht="17.25" hidden="false" customHeight="true" outlineLevel="0" collapsed="false">
      <c r="A10" s="14"/>
      <c r="B10" s="14"/>
      <c r="C10" s="5" t="s">
        <v>72</v>
      </c>
      <c r="D10" s="5" t="s">
        <v>70</v>
      </c>
      <c r="E10" s="5" t="n">
        <v>70</v>
      </c>
    </row>
    <row r="11" customFormat="false" ht="17.25" hidden="false" customHeight="true" outlineLevel="0" collapsed="false">
      <c r="A11" s="14"/>
      <c r="B11" s="14"/>
      <c r="C11" s="5" t="s">
        <v>73</v>
      </c>
      <c r="D11" s="5" t="s">
        <v>70</v>
      </c>
      <c r="E11" s="5" t="n">
        <v>65</v>
      </c>
    </row>
    <row r="12" customFormat="false" ht="17.25" hidden="false" customHeight="true" outlineLevel="0" collapsed="false">
      <c r="A12" s="14"/>
      <c r="B12" s="14"/>
      <c r="C12" s="5" t="s">
        <v>74</v>
      </c>
      <c r="D12" s="5" t="s">
        <v>70</v>
      </c>
      <c r="E12" s="5" t="n">
        <v>60</v>
      </c>
    </row>
    <row r="13" customFormat="false" ht="17.25" hidden="false" customHeight="true" outlineLevel="0" collapsed="false">
      <c r="A13" s="14"/>
      <c r="B13" s="14"/>
      <c r="C13" s="5" t="s">
        <v>75</v>
      </c>
      <c r="D13" s="5" t="s">
        <v>70</v>
      </c>
      <c r="E13" s="5" t="n">
        <v>55</v>
      </c>
    </row>
    <row r="14" customFormat="false" ht="17.25" hidden="false" customHeight="true" outlineLevel="0" collapsed="false">
      <c r="A14" s="14"/>
      <c r="B14" s="14"/>
      <c r="C14" s="5" t="s">
        <v>76</v>
      </c>
      <c r="D14" s="5" t="s">
        <v>70</v>
      </c>
      <c r="E14" s="5" t="n">
        <v>50</v>
      </c>
    </row>
    <row r="15" customFormat="false" ht="17.25" hidden="false" customHeight="true" outlineLevel="0" collapsed="false">
      <c r="A15" s="14"/>
      <c r="B15" s="14"/>
      <c r="C15" s="5" t="s">
        <v>77</v>
      </c>
      <c r="D15" s="5" t="s">
        <v>78</v>
      </c>
      <c r="E15" s="5" t="n">
        <v>50</v>
      </c>
    </row>
  </sheetData>
  <mergeCells count="4">
    <mergeCell ref="A5:B5"/>
    <mergeCell ref="A7:B7"/>
    <mergeCell ref="C7:E7"/>
    <mergeCell ref="A8:B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484375" defaultRowHeight="15" zeroHeight="false" outlineLevelRow="0" outlineLevelCol="0"/>
  <cols>
    <col collapsed="false" customWidth="true" hidden="false" outlineLevel="0" max="1" min="1" style="1" width="120"/>
    <col collapsed="false" customWidth="true" hidden="false" outlineLevel="0" max="4" min="2" style="1" width="15"/>
    <col collapsed="false" customWidth="false" hidden="false" outlineLevel="0" max="16384" min="5" style="1" width="9.14"/>
  </cols>
  <sheetData>
    <row r="1" customFormat="false" ht="17.25" hidden="false" customHeight="true" outlineLevel="0" collapsed="false">
      <c r="A1" s="2" t="s">
        <v>27</v>
      </c>
      <c r="B1" s="2" t="s">
        <v>79</v>
      </c>
      <c r="C1" s="2" t="s">
        <v>80</v>
      </c>
      <c r="D1" s="2" t="s">
        <v>81</v>
      </c>
    </row>
    <row r="2" customFormat="false" ht="33.75" hidden="false" customHeight="true" outlineLevel="0" collapsed="false">
      <c r="A2" s="1" t="s">
        <v>82</v>
      </c>
      <c r="B2" s="15" t="n">
        <v>38</v>
      </c>
      <c r="C2" s="10" t="n">
        <v>38</v>
      </c>
      <c r="D2" s="10" t="s">
        <v>83</v>
      </c>
    </row>
    <row r="3" customFormat="false" ht="33.75" hidden="false" customHeight="true" outlineLevel="0" collapsed="false">
      <c r="A3" s="1" t="s">
        <v>84</v>
      </c>
      <c r="B3" s="15" t="n">
        <v>31</v>
      </c>
      <c r="C3" s="10" t="s">
        <v>83</v>
      </c>
      <c r="D3" s="10" t="n">
        <v>31</v>
      </c>
    </row>
    <row r="4" customFormat="false" ht="33.75" hidden="false" customHeight="true" outlineLevel="0" collapsed="false">
      <c r="A4" s="1" t="s">
        <v>85</v>
      </c>
      <c r="B4" s="15" t="n">
        <v>31</v>
      </c>
      <c r="C4" s="10" t="s">
        <v>83</v>
      </c>
      <c r="D4" s="10" t="n">
        <v>31</v>
      </c>
    </row>
    <row r="5" customFormat="false" ht="17.25" hidden="false" customHeight="true" outlineLevel="0" collapsed="false">
      <c r="A5" s="16" t="s">
        <v>60</v>
      </c>
      <c r="B5" s="11" t="n">
        <f aca="false">SUM(B2:B4)</f>
        <v>100</v>
      </c>
      <c r="C5" s="11" t="n">
        <f aca="false">SUM(C2:C4)</f>
        <v>38</v>
      </c>
      <c r="D5" s="11" t="n">
        <f aca="false">SUM(D2:D4)</f>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9.14843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8" min="3" style="1" width="30"/>
    <col collapsed="false" customWidth="true" hidden="false" outlineLevel="0" max="9" min="9" style="1" width="10"/>
    <col collapsed="false" customWidth="true" hidden="false" outlineLevel="0" max="10" min="10" style="1" width="26"/>
    <col collapsed="false" customWidth="false" hidden="false" outlineLevel="0" max="16384" min="11" style="1" width="9.14"/>
  </cols>
  <sheetData>
    <row r="1" customFormat="false" ht="17.25" hidden="false" customHeight="true" outlineLevel="0" collapsed="false">
      <c r="A1" s="1" t="s">
        <v>86</v>
      </c>
    </row>
    <row r="2" customFormat="false" ht="17.25" hidden="false" customHeight="true" outlineLevel="0" collapsed="false">
      <c r="A2" s="1" t="s">
        <v>87</v>
      </c>
    </row>
    <row r="3" customFormat="false" ht="33.75" hidden="false" customHeight="true" outlineLevel="0" collapsed="false">
      <c r="A3" s="2" t="s">
        <v>88</v>
      </c>
      <c r="B3" s="2" t="s">
        <v>89</v>
      </c>
      <c r="C3" s="2" t="s">
        <v>90</v>
      </c>
      <c r="D3" s="2" t="s">
        <v>91</v>
      </c>
      <c r="E3" s="2" t="s">
        <v>92</v>
      </c>
      <c r="F3" s="2" t="s">
        <v>93</v>
      </c>
      <c r="G3" s="2" t="s">
        <v>94</v>
      </c>
      <c r="H3" s="2" t="s">
        <v>95</v>
      </c>
      <c r="I3" s="2"/>
      <c r="J3" s="17" t="s">
        <v>96</v>
      </c>
    </row>
    <row r="4" customFormat="false" ht="132.75" hidden="false" customHeight="true" outlineLevel="0" collapsed="false">
      <c r="A4" s="1" t="s">
        <v>97</v>
      </c>
      <c r="B4" s="5" t="n">
        <v>3</v>
      </c>
      <c r="C4" s="5" t="s">
        <v>98</v>
      </c>
      <c r="D4" s="5" t="s">
        <v>99</v>
      </c>
      <c r="E4" s="5" t="s">
        <v>100</v>
      </c>
      <c r="F4" s="5" t="s">
        <v>101</v>
      </c>
      <c r="G4" s="5" t="n">
        <v>3</v>
      </c>
      <c r="H4" s="5" t="n">
        <f aca="false">SUM(B4 * G4)</f>
        <v>9</v>
      </c>
      <c r="J4" s="18" t="s">
        <v>102</v>
      </c>
    </row>
    <row r="5" customFormat="false" ht="116.25" hidden="false" customHeight="true" outlineLevel="0" collapsed="false">
      <c r="A5" s="1" t="s">
        <v>103</v>
      </c>
      <c r="B5" s="5" t="n">
        <v>3</v>
      </c>
      <c r="C5" s="5" t="s">
        <v>104</v>
      </c>
      <c r="D5" s="5" t="s">
        <v>105</v>
      </c>
      <c r="E5" s="5" t="s">
        <v>106</v>
      </c>
      <c r="F5" s="5" t="s">
        <v>107</v>
      </c>
      <c r="G5" s="5" t="n">
        <v>3</v>
      </c>
      <c r="H5" s="5" t="n">
        <f aca="false">SUM(B5 * G5)</f>
        <v>9</v>
      </c>
      <c r="J5" s="18" t="s">
        <v>102</v>
      </c>
    </row>
    <row r="6" customFormat="false" ht="83.25" hidden="false" customHeight="true" outlineLevel="0" collapsed="false">
      <c r="A6" s="1" t="s">
        <v>108</v>
      </c>
      <c r="B6" s="5" t="n">
        <v>3</v>
      </c>
      <c r="C6" s="5" t="s">
        <v>109</v>
      </c>
      <c r="D6" s="5" t="s">
        <v>110</v>
      </c>
      <c r="E6" s="5" t="s">
        <v>111</v>
      </c>
      <c r="F6" s="5" t="s">
        <v>112</v>
      </c>
      <c r="G6" s="5" t="n">
        <v>3</v>
      </c>
      <c r="H6" s="5" t="n">
        <f aca="false">SUM(B6 * G6)</f>
        <v>9</v>
      </c>
      <c r="J6" s="18" t="s">
        <v>113</v>
      </c>
    </row>
    <row r="7" customFormat="false" ht="116.25" hidden="false" customHeight="true" outlineLevel="0" collapsed="false">
      <c r="A7" s="1" t="s">
        <v>114</v>
      </c>
      <c r="B7" s="5" t="n">
        <v>3</v>
      </c>
      <c r="C7" s="5" t="s">
        <v>115</v>
      </c>
      <c r="D7" s="5" t="s">
        <v>116</v>
      </c>
      <c r="E7" s="5" t="s">
        <v>117</v>
      </c>
      <c r="F7" s="5" t="s">
        <v>118</v>
      </c>
      <c r="G7" s="5" t="n">
        <v>3</v>
      </c>
      <c r="H7" s="5" t="n">
        <f aca="false">SUM(B7 * G7)</f>
        <v>9</v>
      </c>
      <c r="J7" s="18" t="s">
        <v>119</v>
      </c>
    </row>
    <row r="8" customFormat="false" ht="99.75" hidden="false" customHeight="true" outlineLevel="0" collapsed="false">
      <c r="A8" s="1" t="s">
        <v>120</v>
      </c>
      <c r="B8" s="5" t="n">
        <v>3</v>
      </c>
      <c r="C8" s="5" t="s">
        <v>121</v>
      </c>
      <c r="D8" s="5" t="s">
        <v>122</v>
      </c>
      <c r="E8" s="5" t="s">
        <v>123</v>
      </c>
      <c r="F8" s="5" t="s">
        <v>124</v>
      </c>
      <c r="G8" s="5" t="n">
        <v>3</v>
      </c>
      <c r="H8" s="5" t="n">
        <f aca="false">SUM(B8 * G8)</f>
        <v>9</v>
      </c>
      <c r="J8" s="18" t="s">
        <v>125</v>
      </c>
    </row>
    <row r="9" customFormat="false" ht="17.25" hidden="false" customHeight="true" outlineLevel="0" collapsed="false">
      <c r="A9" s="19" t="s">
        <v>60</v>
      </c>
      <c r="B9" s="19"/>
      <c r="C9" s="19"/>
      <c r="D9" s="19"/>
      <c r="E9" s="19"/>
      <c r="F9" s="19"/>
      <c r="G9" s="19"/>
      <c r="H9" s="5" t="n">
        <f aca="false">SUM(H4:H8)</f>
        <v>45</v>
      </c>
    </row>
    <row r="10" customFormat="false" ht="43.5" hidden="false" customHeight="true" outlineLevel="0" collapsed="false">
      <c r="A10" s="20" t="s">
        <v>126</v>
      </c>
      <c r="B10" s="20"/>
      <c r="C10" s="20"/>
      <c r="D10" s="20"/>
      <c r="E10" s="20"/>
      <c r="F10" s="20"/>
      <c r="G10" s="20"/>
      <c r="H10" s="20"/>
      <c r="I10" s="20"/>
      <c r="J10" s="20"/>
    </row>
  </sheetData>
  <mergeCells count="2">
    <mergeCell ref="A9:G9"/>
    <mergeCell ref="A10:J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21" width="6"/>
    <col collapsed="false" customWidth="true" hidden="false" outlineLevel="0" max="2" min="2" style="21" width="30"/>
    <col collapsed="false" customWidth="true" hidden="false" outlineLevel="0" max="3" min="3" style="21" width="12"/>
    <col collapsed="false" customWidth="true" hidden="false" outlineLevel="0" max="4" min="4" style="21" width="52"/>
    <col collapsed="false" customWidth="true" hidden="false" outlineLevel="0" max="5" min="5" style="21" width="46"/>
    <col collapsed="false" customWidth="true" hidden="false" outlineLevel="0" max="6" min="6" style="21" width="40"/>
    <col collapsed="false" customWidth="true" hidden="false" outlineLevel="0" max="7" min="7" style="21" width="9"/>
    <col collapsed="false" customWidth="true" hidden="false" outlineLevel="0" max="8" min="8" style="21" width="16"/>
  </cols>
  <sheetData>
    <row r="1" customFormat="false" ht="17.25" hidden="false" customHeight="true" outlineLevel="0" collapsed="false">
      <c r="A1" s="22" t="s">
        <v>127</v>
      </c>
      <c r="B1" s="22"/>
      <c r="C1" s="22"/>
      <c r="D1" s="22"/>
      <c r="E1" s="22"/>
      <c r="F1" s="22"/>
      <c r="G1" s="22"/>
      <c r="H1" s="22"/>
    </row>
    <row r="2" customFormat="false" ht="33.75" hidden="false" customHeight="true" outlineLevel="0" collapsed="false">
      <c r="A2" s="17" t="s">
        <v>26</v>
      </c>
      <c r="B2" s="17" t="s">
        <v>128</v>
      </c>
      <c r="C2" s="17" t="s">
        <v>27</v>
      </c>
      <c r="D2" s="17" t="s">
        <v>129</v>
      </c>
      <c r="E2" s="17" t="s">
        <v>130</v>
      </c>
      <c r="F2" s="17" t="s">
        <v>131</v>
      </c>
      <c r="G2" s="17" t="s">
        <v>132</v>
      </c>
      <c r="H2" s="17" t="s">
        <v>133</v>
      </c>
    </row>
    <row r="3" customFormat="false" ht="117.75" hidden="false" customHeight="true" outlineLevel="0" collapsed="false">
      <c r="A3" s="18" t="n">
        <v>1</v>
      </c>
      <c r="B3" s="23" t="s">
        <v>50</v>
      </c>
      <c r="C3" s="18" t="s">
        <v>33</v>
      </c>
      <c r="D3" s="23" t="s">
        <v>134</v>
      </c>
      <c r="E3" s="23" t="s">
        <v>135</v>
      </c>
      <c r="F3" s="23" t="s">
        <v>136</v>
      </c>
      <c r="G3" s="18" t="n">
        <v>4</v>
      </c>
      <c r="H3" s="18" t="s">
        <v>137</v>
      </c>
    </row>
    <row r="4" customFormat="false" ht="117.75" hidden="false" customHeight="true" outlineLevel="0" collapsed="false">
      <c r="A4" s="18" t="n">
        <v>2</v>
      </c>
      <c r="B4" s="23" t="s">
        <v>52</v>
      </c>
      <c r="C4" s="18" t="s">
        <v>33</v>
      </c>
      <c r="D4" s="23" t="s">
        <v>138</v>
      </c>
      <c r="E4" s="23" t="s">
        <v>139</v>
      </c>
      <c r="F4" s="23" t="s">
        <v>140</v>
      </c>
      <c r="G4" s="18" t="n">
        <v>4</v>
      </c>
      <c r="H4" s="18" t="s">
        <v>141</v>
      </c>
    </row>
    <row r="5" customFormat="false" ht="117.75" hidden="false" customHeight="true" outlineLevel="0" collapsed="false">
      <c r="A5" s="18" t="n">
        <v>3</v>
      </c>
      <c r="B5" s="23" t="s">
        <v>54</v>
      </c>
      <c r="C5" s="18" t="s">
        <v>142</v>
      </c>
      <c r="D5" s="23" t="s">
        <v>143</v>
      </c>
      <c r="E5" s="23" t="s">
        <v>144</v>
      </c>
      <c r="F5" s="23" t="s">
        <v>145</v>
      </c>
      <c r="G5" s="18" t="n">
        <v>5</v>
      </c>
      <c r="H5" s="18" t="s">
        <v>146</v>
      </c>
    </row>
    <row r="6" customFormat="false" ht="117.75" hidden="false" customHeight="true" outlineLevel="0" collapsed="false">
      <c r="A6" s="18" t="n">
        <v>4</v>
      </c>
      <c r="B6" s="23" t="s">
        <v>55</v>
      </c>
      <c r="C6" s="18" t="s">
        <v>142</v>
      </c>
      <c r="D6" s="23" t="s">
        <v>147</v>
      </c>
      <c r="E6" s="23" t="s">
        <v>148</v>
      </c>
      <c r="F6" s="23" t="s">
        <v>149</v>
      </c>
      <c r="G6" s="18" t="n">
        <v>5</v>
      </c>
      <c r="H6" s="18" t="s">
        <v>150</v>
      </c>
    </row>
    <row r="7" customFormat="false" ht="117.75" hidden="false" customHeight="true" outlineLevel="0" collapsed="false">
      <c r="A7" s="18" t="n">
        <v>5</v>
      </c>
      <c r="B7" s="23" t="s">
        <v>57</v>
      </c>
      <c r="C7" s="18" t="s">
        <v>142</v>
      </c>
      <c r="D7" s="23" t="s">
        <v>151</v>
      </c>
      <c r="E7" s="23" t="s">
        <v>152</v>
      </c>
      <c r="F7" s="23" t="s">
        <v>153</v>
      </c>
      <c r="G7" s="18" t="n">
        <v>5</v>
      </c>
      <c r="H7" s="18" t="s">
        <v>154</v>
      </c>
    </row>
    <row r="8" customFormat="false" ht="117.75" hidden="false" customHeight="true" outlineLevel="0" collapsed="false">
      <c r="A8" s="18" t="n">
        <v>6</v>
      </c>
      <c r="B8" s="23" t="s">
        <v>59</v>
      </c>
      <c r="C8" s="18" t="s">
        <v>155</v>
      </c>
      <c r="D8" s="23" t="s">
        <v>156</v>
      </c>
      <c r="E8" s="23" t="s">
        <v>157</v>
      </c>
      <c r="F8" s="23" t="s">
        <v>158</v>
      </c>
      <c r="G8" s="18" t="n">
        <v>17</v>
      </c>
      <c r="H8" s="18" t="s">
        <v>159</v>
      </c>
    </row>
    <row r="9" customFormat="false" ht="33.75" hidden="false" customHeight="true" outlineLevel="0" collapsed="false">
      <c r="A9" s="24"/>
      <c r="B9" s="24" t="s">
        <v>160</v>
      </c>
      <c r="C9" s="24"/>
      <c r="D9" s="24"/>
      <c r="E9" s="24"/>
      <c r="F9" s="24"/>
      <c r="G9" s="25" t="n">
        <f aca="false">SUM(G3:G8)</f>
        <v>40</v>
      </c>
      <c r="H9" s="24"/>
    </row>
    <row r="11" customFormat="false" ht="45.75" hidden="false" customHeight="true" outlineLevel="0" collapsed="false">
      <c r="A11" s="26" t="s">
        <v>161</v>
      </c>
      <c r="B11" s="26"/>
      <c r="C11" s="26"/>
      <c r="D11" s="26"/>
      <c r="E11" s="26"/>
      <c r="F11" s="26"/>
      <c r="G11" s="26"/>
      <c r="H11" s="26"/>
    </row>
  </sheetData>
  <mergeCells count="2">
    <mergeCell ref="A1:H1"/>
    <mergeCell ref="A11:H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21" width="16"/>
    <col collapsed="false" customWidth="true" hidden="false" outlineLevel="0" max="2" min="2" style="21" width="46"/>
    <col collapsed="false" customWidth="true" hidden="false" outlineLevel="0" max="3" min="3" style="21" width="26"/>
    <col collapsed="false" customWidth="true" hidden="false" outlineLevel="0" max="7" min="4" style="21" width="10"/>
  </cols>
  <sheetData>
    <row r="1" customFormat="false" ht="17.25" hidden="false" customHeight="true" outlineLevel="0" collapsed="false">
      <c r="A1" s="22" t="s">
        <v>162</v>
      </c>
      <c r="B1" s="22"/>
      <c r="C1" s="22"/>
      <c r="D1" s="22"/>
      <c r="E1" s="22"/>
      <c r="F1" s="22"/>
      <c r="G1" s="22"/>
    </row>
    <row r="2" customFormat="false" ht="33.75" hidden="false" customHeight="true" outlineLevel="0" collapsed="false">
      <c r="A2" s="17" t="s">
        <v>163</v>
      </c>
      <c r="B2" s="17" t="s">
        <v>164</v>
      </c>
      <c r="C2" s="17" t="s">
        <v>165</v>
      </c>
      <c r="D2" s="17" t="s">
        <v>33</v>
      </c>
      <c r="E2" s="17" t="s">
        <v>38</v>
      </c>
      <c r="F2" s="17" t="s">
        <v>41</v>
      </c>
      <c r="G2" s="17" t="s">
        <v>79</v>
      </c>
    </row>
    <row r="3" customFormat="false" ht="33.75" hidden="false" customHeight="true" outlineLevel="0" collapsed="false">
      <c r="A3" s="18" t="s">
        <v>65</v>
      </c>
      <c r="B3" s="23" t="s">
        <v>166</v>
      </c>
      <c r="C3" s="23" t="s">
        <v>167</v>
      </c>
      <c r="D3" s="18" t="n">
        <v>5</v>
      </c>
      <c r="E3" s="18" t="n">
        <v>0</v>
      </c>
      <c r="F3" s="18" t="n">
        <v>0</v>
      </c>
      <c r="G3" s="18" t="n">
        <f aca="false">SUM(D3:F3)</f>
        <v>5</v>
      </c>
    </row>
    <row r="4" customFormat="false" ht="33.75" hidden="false" customHeight="true" outlineLevel="0" collapsed="false">
      <c r="A4" s="18" t="s">
        <v>65</v>
      </c>
      <c r="B4" s="23" t="s">
        <v>168</v>
      </c>
      <c r="C4" s="23" t="s">
        <v>169</v>
      </c>
      <c r="D4" s="18" t="n">
        <v>5</v>
      </c>
      <c r="E4" s="18" t="n">
        <v>0</v>
      </c>
      <c r="F4" s="18" t="n">
        <v>0</v>
      </c>
      <c r="G4" s="18" t="n">
        <f aca="false">SUM(D4:F4)</f>
        <v>5</v>
      </c>
    </row>
    <row r="5" customFormat="false" ht="33.75" hidden="false" customHeight="true" outlineLevel="0" collapsed="false">
      <c r="A5" s="18" t="s">
        <v>65</v>
      </c>
      <c r="B5" s="23" t="s">
        <v>170</v>
      </c>
      <c r="C5" s="23" t="s">
        <v>171</v>
      </c>
      <c r="D5" s="18" t="n">
        <v>0</v>
      </c>
      <c r="E5" s="18" t="n">
        <v>3</v>
      </c>
      <c r="F5" s="18" t="n">
        <v>2</v>
      </c>
      <c r="G5" s="18" t="n">
        <f aca="false">SUM(D5:F5)</f>
        <v>5</v>
      </c>
    </row>
    <row r="6" customFormat="false" ht="33.75" hidden="false" customHeight="true" outlineLevel="0" collapsed="false">
      <c r="A6" s="18" t="s">
        <v>65</v>
      </c>
      <c r="B6" s="23" t="s">
        <v>172</v>
      </c>
      <c r="C6" s="23" t="s">
        <v>173</v>
      </c>
      <c r="D6" s="18" t="n">
        <v>0</v>
      </c>
      <c r="E6" s="18" t="n">
        <v>3</v>
      </c>
      <c r="F6" s="18" t="n">
        <v>2</v>
      </c>
      <c r="G6" s="18" t="n">
        <f aca="false">SUM(D6:F6)</f>
        <v>5</v>
      </c>
    </row>
    <row r="7" customFormat="false" ht="33.75" hidden="false" customHeight="true" outlineLevel="0" collapsed="false">
      <c r="A7" s="18" t="s">
        <v>65</v>
      </c>
      <c r="B7" s="23" t="s">
        <v>174</v>
      </c>
      <c r="C7" s="23" t="s">
        <v>175</v>
      </c>
      <c r="D7" s="18" t="n">
        <v>0</v>
      </c>
      <c r="E7" s="18" t="n">
        <v>1</v>
      </c>
      <c r="F7" s="18" t="n">
        <v>4</v>
      </c>
      <c r="G7" s="18" t="n">
        <f aca="false">SUM(D7:F7)</f>
        <v>5</v>
      </c>
    </row>
    <row r="8" customFormat="false" ht="33.75" hidden="false" customHeight="true" outlineLevel="0" collapsed="false">
      <c r="A8" s="18" t="s">
        <v>64</v>
      </c>
      <c r="B8" s="23" t="s">
        <v>176</v>
      </c>
      <c r="C8" s="23" t="s">
        <v>177</v>
      </c>
      <c r="D8" s="18" t="n">
        <v>5</v>
      </c>
      <c r="E8" s="18" t="n">
        <v>0</v>
      </c>
      <c r="F8" s="18" t="n">
        <v>0</v>
      </c>
      <c r="G8" s="18" t="n">
        <f aca="false">SUM(D8:F8)</f>
        <v>5</v>
      </c>
    </row>
    <row r="9" customFormat="false" ht="33.75" hidden="false" customHeight="true" outlineLevel="0" collapsed="false">
      <c r="A9" s="18" t="s">
        <v>64</v>
      </c>
      <c r="B9" s="23" t="s">
        <v>178</v>
      </c>
      <c r="C9" s="23" t="s">
        <v>179</v>
      </c>
      <c r="D9" s="18" t="n">
        <v>3</v>
      </c>
      <c r="E9" s="18" t="n">
        <v>2</v>
      </c>
      <c r="F9" s="18" t="n">
        <v>0</v>
      </c>
      <c r="G9" s="18" t="n">
        <f aca="false">SUM(D9:F9)</f>
        <v>5</v>
      </c>
    </row>
    <row r="10" customFormat="false" ht="33.75" hidden="false" customHeight="true" outlineLevel="0" collapsed="false">
      <c r="A10" s="18" t="s">
        <v>64</v>
      </c>
      <c r="B10" s="23" t="s">
        <v>180</v>
      </c>
      <c r="C10" s="23" t="s">
        <v>181</v>
      </c>
      <c r="D10" s="18" t="n">
        <v>0</v>
      </c>
      <c r="E10" s="18" t="n">
        <v>3</v>
      </c>
      <c r="F10" s="18" t="n">
        <v>2</v>
      </c>
      <c r="G10" s="18" t="n">
        <f aca="false">SUM(D10:F10)</f>
        <v>5</v>
      </c>
    </row>
    <row r="11" customFormat="false" ht="33.75" hidden="false" customHeight="true" outlineLevel="0" collapsed="false">
      <c r="A11" s="18" t="s">
        <v>64</v>
      </c>
      <c r="B11" s="23" t="s">
        <v>182</v>
      </c>
      <c r="C11" s="23" t="s">
        <v>183</v>
      </c>
      <c r="D11" s="18" t="n">
        <v>0</v>
      </c>
      <c r="E11" s="18" t="n">
        <v>3</v>
      </c>
      <c r="F11" s="18" t="n">
        <v>2</v>
      </c>
      <c r="G11" s="18" t="n">
        <f aca="false">SUM(D11:F11)</f>
        <v>5</v>
      </c>
    </row>
    <row r="12" customFormat="false" ht="33.75" hidden="false" customHeight="true" outlineLevel="0" collapsed="false">
      <c r="A12" s="18" t="s">
        <v>64</v>
      </c>
      <c r="B12" s="23" t="s">
        <v>184</v>
      </c>
      <c r="C12" s="23" t="s">
        <v>59</v>
      </c>
      <c r="D12" s="18" t="n">
        <v>0</v>
      </c>
      <c r="E12" s="18" t="n">
        <v>0</v>
      </c>
      <c r="F12" s="18" t="n">
        <v>5</v>
      </c>
      <c r="G12" s="18" t="n">
        <f aca="false">SUM(D12:F12)</f>
        <v>5</v>
      </c>
    </row>
    <row r="13" customFormat="false" ht="33.75" hidden="false" customHeight="true" outlineLevel="0" collapsed="false">
      <c r="A13" s="18" t="s">
        <v>63</v>
      </c>
      <c r="B13" s="23" t="s">
        <v>185</v>
      </c>
      <c r="C13" s="23" t="s">
        <v>59</v>
      </c>
      <c r="D13" s="18" t="n">
        <v>9</v>
      </c>
      <c r="E13" s="18" t="n">
        <v>0</v>
      </c>
      <c r="F13" s="18" t="n">
        <v>0</v>
      </c>
      <c r="G13" s="18" t="n">
        <f aca="false">SUM(D13:F13)</f>
        <v>9</v>
      </c>
    </row>
    <row r="14" customFormat="false" ht="33.75" hidden="false" customHeight="true" outlineLevel="0" collapsed="false">
      <c r="A14" s="18" t="s">
        <v>63</v>
      </c>
      <c r="B14" s="23" t="s">
        <v>186</v>
      </c>
      <c r="C14" s="23" t="s">
        <v>59</v>
      </c>
      <c r="D14" s="18" t="n">
        <v>9</v>
      </c>
      <c r="E14" s="18" t="n">
        <v>0</v>
      </c>
      <c r="F14" s="18" t="n">
        <v>0</v>
      </c>
      <c r="G14" s="18" t="n">
        <f aca="false">SUM(D14:F14)</f>
        <v>9</v>
      </c>
    </row>
    <row r="15" customFormat="false" ht="33.75" hidden="false" customHeight="true" outlineLevel="0" collapsed="false">
      <c r="A15" s="18" t="s">
        <v>63</v>
      </c>
      <c r="B15" s="23" t="s">
        <v>187</v>
      </c>
      <c r="C15" s="23" t="s">
        <v>59</v>
      </c>
      <c r="D15" s="18" t="n">
        <v>0</v>
      </c>
      <c r="E15" s="18" t="n">
        <v>9</v>
      </c>
      <c r="F15" s="18" t="n">
        <v>0</v>
      </c>
      <c r="G15" s="18" t="n">
        <f aca="false">SUM(D15:F15)</f>
        <v>9</v>
      </c>
    </row>
    <row r="16" customFormat="false" ht="33.75" hidden="false" customHeight="true" outlineLevel="0" collapsed="false">
      <c r="A16" s="18" t="s">
        <v>63</v>
      </c>
      <c r="B16" s="23" t="s">
        <v>188</v>
      </c>
      <c r="C16" s="23" t="s">
        <v>59</v>
      </c>
      <c r="D16" s="18" t="n">
        <v>0</v>
      </c>
      <c r="E16" s="18" t="n">
        <v>5</v>
      </c>
      <c r="F16" s="18" t="n">
        <v>4</v>
      </c>
      <c r="G16" s="18" t="n">
        <f aca="false">SUM(D16:F16)</f>
        <v>9</v>
      </c>
    </row>
    <row r="17" customFormat="false" ht="33.75" hidden="false" customHeight="true" outlineLevel="0" collapsed="false">
      <c r="A17" s="18" t="s">
        <v>63</v>
      </c>
      <c r="B17" s="23" t="s">
        <v>189</v>
      </c>
      <c r="C17" s="23" t="s">
        <v>59</v>
      </c>
      <c r="D17" s="18" t="n">
        <v>0</v>
      </c>
      <c r="E17" s="18" t="n">
        <v>0</v>
      </c>
      <c r="F17" s="18" t="n">
        <v>9</v>
      </c>
      <c r="G17" s="18" t="n">
        <f aca="false">SUM(D17:F17)</f>
        <v>9</v>
      </c>
    </row>
    <row r="18" customFormat="false" ht="33.75" hidden="false" customHeight="true" outlineLevel="0" collapsed="false">
      <c r="A18" s="18" t="s">
        <v>63</v>
      </c>
      <c r="B18" s="23" t="s">
        <v>190</v>
      </c>
      <c r="C18" s="23" t="s">
        <v>59</v>
      </c>
      <c r="D18" s="18" t="n">
        <v>2</v>
      </c>
      <c r="E18" s="18" t="n">
        <v>2</v>
      </c>
      <c r="F18" s="18" t="n">
        <v>1</v>
      </c>
      <c r="G18" s="18" t="n">
        <f aca="false">SUM(D18:F18)</f>
        <v>5</v>
      </c>
    </row>
    <row r="19" customFormat="false" ht="50.25" hidden="false" customHeight="true" outlineLevel="0" collapsed="false">
      <c r="A19" s="25" t="s">
        <v>191</v>
      </c>
      <c r="B19" s="24"/>
      <c r="C19" s="24"/>
      <c r="D19" s="25" t="n">
        <f aca="false">SUM(D3:D7)</f>
        <v>10</v>
      </c>
      <c r="E19" s="25" t="n">
        <f aca="false">SUM(E3:E7)</f>
        <v>7</v>
      </c>
      <c r="F19" s="25" t="n">
        <f aca="false">SUM(F3:F7)</f>
        <v>8</v>
      </c>
      <c r="G19" s="25" t="n">
        <f aca="false">SUM(D19:F19)</f>
        <v>25</v>
      </c>
    </row>
    <row r="20" customFormat="false" ht="33.75" hidden="false" customHeight="true" outlineLevel="0" collapsed="false">
      <c r="A20" s="25" t="s">
        <v>192</v>
      </c>
      <c r="B20" s="24"/>
      <c r="C20" s="24"/>
      <c r="D20" s="25" t="n">
        <f aca="false">SUM(D8:D12)</f>
        <v>8</v>
      </c>
      <c r="E20" s="25" t="n">
        <f aca="false">SUM(E8:E12)</f>
        <v>8</v>
      </c>
      <c r="F20" s="25" t="n">
        <f aca="false">SUM(F8:F12)</f>
        <v>9</v>
      </c>
      <c r="G20" s="25" t="n">
        <f aca="false">SUM(D20:F20)</f>
        <v>25</v>
      </c>
    </row>
    <row r="21" customFormat="false" ht="33.75" hidden="false" customHeight="true" outlineLevel="0" collapsed="false">
      <c r="A21" s="25" t="s">
        <v>193</v>
      </c>
      <c r="B21" s="24"/>
      <c r="C21" s="24"/>
      <c r="D21" s="25" t="n">
        <f aca="false">SUM(D13:D18)</f>
        <v>20</v>
      </c>
      <c r="E21" s="25" t="n">
        <f aca="false">SUM(E13:E18)</f>
        <v>16</v>
      </c>
      <c r="F21" s="25" t="n">
        <f aca="false">SUM(F13:F18)</f>
        <v>14</v>
      </c>
      <c r="G21" s="25" t="n">
        <f aca="false">SUM(D21:F21)</f>
        <v>50</v>
      </c>
    </row>
    <row r="22" customFormat="false" ht="33.75" hidden="false" customHeight="true" outlineLevel="0" collapsed="false">
      <c r="A22" s="17" t="s">
        <v>194</v>
      </c>
      <c r="B22" s="27"/>
      <c r="C22" s="27"/>
      <c r="D22" s="17" t="n">
        <f aca="false">SUM(D19:D21)</f>
        <v>38</v>
      </c>
      <c r="E22" s="17" t="n">
        <f aca="false">SUM(E19:E21)</f>
        <v>31</v>
      </c>
      <c r="F22" s="17" t="n">
        <f aca="false">SUM(F19:F21)</f>
        <v>31</v>
      </c>
      <c r="G22" s="17" t="n">
        <f aca="false">SUM(D22:F22)</f>
        <v>100</v>
      </c>
    </row>
    <row r="24" customFormat="false" ht="33.75" hidden="false" customHeight="true" outlineLevel="0" collapsed="false">
      <c r="A24" s="28" t="s">
        <v>195</v>
      </c>
      <c r="B24" s="29" t="s">
        <v>196</v>
      </c>
      <c r="C24" s="29"/>
      <c r="D24" s="30" t="n">
        <f aca="false">'Evaluation Method'!D5</f>
        <v>38</v>
      </c>
      <c r="E24" s="30" t="n">
        <f aca="false">'Evaluation Method'!E5</f>
        <v>31</v>
      </c>
      <c r="F24" s="30" t="n">
        <f aca="false">'Evaluation Method'!F5</f>
        <v>31</v>
      </c>
      <c r="G24" s="30" t="n">
        <f aca="false">'Evaluation Method'!C5</f>
        <v>100</v>
      </c>
    </row>
    <row r="25" customFormat="false" ht="17.25" hidden="false" customHeight="true" outlineLevel="0" collapsed="false">
      <c r="A25" s="28" t="s">
        <v>195</v>
      </c>
      <c r="B25" s="29" t="s">
        <v>197</v>
      </c>
      <c r="C25" s="29"/>
      <c r="D25" s="28" t="n">
        <f aca="false">D22-D24</f>
        <v>0</v>
      </c>
      <c r="E25" s="28" t="n">
        <f aca="false">E22-E24</f>
        <v>0</v>
      </c>
      <c r="F25" s="28" t="n">
        <f aca="false">F22-F24</f>
        <v>0</v>
      </c>
      <c r="G25" s="28" t="n">
        <f aca="false">G22-G24</f>
        <v>0</v>
      </c>
    </row>
    <row r="26" customFormat="false" ht="33.75" hidden="false" customHeight="true" outlineLevel="0" collapsed="false">
      <c r="A26" s="28" t="s">
        <v>195</v>
      </c>
      <c r="B26" s="29" t="s">
        <v>198</v>
      </c>
      <c r="C26" s="29"/>
      <c r="D26" s="30" t="n">
        <f aca="false">'CLO &amp; PLO Alignment'!B2</f>
        <v>38</v>
      </c>
      <c r="E26" s="30" t="n">
        <f aca="false">'CLO &amp; PLO Alignment'!B3</f>
        <v>31</v>
      </c>
      <c r="F26" s="30" t="n">
        <f aca="false">'CLO &amp; PLO Alignment'!B4</f>
        <v>31</v>
      </c>
      <c r="G26" s="30" t="n">
        <f aca="false">'CLO &amp; PLO Alignment'!B5</f>
        <v>100</v>
      </c>
    </row>
    <row r="27" customFormat="false" ht="17.25" hidden="false" customHeight="true" outlineLevel="0" collapsed="false">
      <c r="A27" s="28" t="s">
        <v>195</v>
      </c>
      <c r="B27" s="29" t="s">
        <v>197</v>
      </c>
      <c r="C27" s="29"/>
      <c r="D27" s="28" t="n">
        <f aca="false">D22-D26</f>
        <v>0</v>
      </c>
      <c r="E27" s="28" t="n">
        <f aca="false">E22-E26</f>
        <v>0</v>
      </c>
      <c r="F27" s="28" t="n">
        <f aca="false">F22-F26</f>
        <v>0</v>
      </c>
      <c r="G27" s="28" t="n">
        <f aca="false">G22-G26</f>
        <v>0</v>
      </c>
    </row>
    <row r="29" customFormat="false" ht="60" hidden="false" customHeight="true" outlineLevel="0" collapsed="false">
      <c r="A29" s="26" t="s">
        <v>199</v>
      </c>
      <c r="B29" s="26"/>
      <c r="C29" s="26"/>
      <c r="D29" s="26"/>
      <c r="E29" s="26"/>
      <c r="F29" s="26"/>
      <c r="G29" s="26"/>
    </row>
  </sheetData>
  <mergeCells count="2">
    <mergeCell ref="A1:G1"/>
    <mergeCell ref="A29:G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21" width="8"/>
    <col collapsed="false" customWidth="true" hidden="false" outlineLevel="0" max="3" min="2" style="21" width="46"/>
    <col collapsed="false" customWidth="true" hidden="false" outlineLevel="0" max="4" min="4" style="21" width="12"/>
    <col collapsed="false" customWidth="true" hidden="false" outlineLevel="0" max="5" min="5" style="21" width="9"/>
    <col collapsed="false" customWidth="true" hidden="false" outlineLevel="0" max="6" min="6" style="21" width="20"/>
    <col collapsed="false" customWidth="true" hidden="false" outlineLevel="0" max="7" min="7" style="0" width="9"/>
  </cols>
  <sheetData>
    <row r="1" customFormat="false" ht="17.25" hidden="false" customHeight="true" outlineLevel="0" collapsed="false">
      <c r="A1" s="22" t="s">
        <v>200</v>
      </c>
      <c r="B1" s="22"/>
      <c r="C1" s="22"/>
      <c r="D1" s="22"/>
      <c r="E1" s="22"/>
      <c r="F1" s="22"/>
    </row>
    <row r="2" customFormat="false" ht="33.75" hidden="false" customHeight="true" outlineLevel="0" collapsed="false">
      <c r="A2" s="17" t="s">
        <v>201</v>
      </c>
      <c r="B2" s="17" t="s">
        <v>202</v>
      </c>
      <c r="C2" s="17" t="s">
        <v>203</v>
      </c>
      <c r="D2" s="17" t="s">
        <v>27</v>
      </c>
      <c r="E2" s="17" t="s">
        <v>132</v>
      </c>
      <c r="F2" s="17" t="s">
        <v>204</v>
      </c>
      <c r="G2" s="17" t="s">
        <v>205</v>
      </c>
    </row>
    <row r="3" customFormat="false" ht="61.5" hidden="false" customHeight="true" outlineLevel="0" collapsed="false">
      <c r="A3" s="18" t="s">
        <v>206</v>
      </c>
      <c r="B3" s="23" t="s">
        <v>207</v>
      </c>
      <c r="C3" s="23" t="s">
        <v>208</v>
      </c>
      <c r="D3" s="18" t="s">
        <v>33</v>
      </c>
      <c r="E3" s="18" t="n">
        <v>4</v>
      </c>
      <c r="F3" s="23" t="s">
        <v>167</v>
      </c>
      <c r="G3" s="18" t="n">
        <v>5</v>
      </c>
    </row>
    <row r="4" customFormat="false" ht="61.5" hidden="false" customHeight="true" outlineLevel="0" collapsed="false">
      <c r="A4" s="18" t="s">
        <v>209</v>
      </c>
      <c r="B4" s="23" t="s">
        <v>210</v>
      </c>
      <c r="C4" s="23" t="s">
        <v>211</v>
      </c>
      <c r="D4" s="18" t="s">
        <v>33</v>
      </c>
      <c r="E4" s="18" t="n">
        <v>4</v>
      </c>
      <c r="F4" s="23" t="s">
        <v>169</v>
      </c>
      <c r="G4" s="18" t="n">
        <v>5</v>
      </c>
    </row>
    <row r="5" customFormat="false" ht="61.5" hidden="false" customHeight="true" outlineLevel="0" collapsed="false">
      <c r="A5" s="18" t="s">
        <v>212</v>
      </c>
      <c r="B5" s="23" t="s">
        <v>213</v>
      </c>
      <c r="C5" s="23" t="s">
        <v>214</v>
      </c>
      <c r="D5" s="18" t="s">
        <v>142</v>
      </c>
      <c r="E5" s="18" t="n">
        <v>5</v>
      </c>
      <c r="F5" s="23" t="s">
        <v>171</v>
      </c>
      <c r="G5" s="18" t="n">
        <v>5</v>
      </c>
    </row>
    <row r="6" customFormat="false" ht="61.5" hidden="false" customHeight="true" outlineLevel="0" collapsed="false">
      <c r="A6" s="18" t="s">
        <v>215</v>
      </c>
      <c r="B6" s="23" t="s">
        <v>216</v>
      </c>
      <c r="C6" s="23" t="s">
        <v>217</v>
      </c>
      <c r="D6" s="18" t="s">
        <v>142</v>
      </c>
      <c r="E6" s="18" t="n">
        <v>5</v>
      </c>
      <c r="F6" s="23" t="s">
        <v>173</v>
      </c>
      <c r="G6" s="18" t="n">
        <v>5</v>
      </c>
    </row>
    <row r="7" customFormat="false" ht="61.5" hidden="false" customHeight="true" outlineLevel="0" collapsed="false">
      <c r="A7" s="18" t="s">
        <v>218</v>
      </c>
      <c r="B7" s="23" t="s">
        <v>219</v>
      </c>
      <c r="C7" s="23" t="s">
        <v>220</v>
      </c>
      <c r="D7" s="18" t="s">
        <v>142</v>
      </c>
      <c r="E7" s="18" t="n">
        <v>5</v>
      </c>
      <c r="F7" s="23" t="s">
        <v>175</v>
      </c>
      <c r="G7" s="18" t="n">
        <v>5</v>
      </c>
    </row>
    <row r="8" customFormat="false" ht="17.25" hidden="false" customHeight="true" outlineLevel="0" collapsed="false">
      <c r="A8" s="24"/>
      <c r="B8" s="24" t="s">
        <v>221</v>
      </c>
      <c r="C8" s="24"/>
      <c r="D8" s="24"/>
      <c r="E8" s="25" t="n">
        <f aca="false">SUM(E3:E7)</f>
        <v>23</v>
      </c>
      <c r="F8" s="24"/>
      <c r="G8" s="25" t="n">
        <f aca="false">SUM(G3:G7)</f>
        <v>25</v>
      </c>
    </row>
    <row r="10" customFormat="false" ht="17.25" hidden="false" customHeight="true" outlineLevel="0" collapsed="false">
      <c r="A10" s="31" t="s">
        <v>222</v>
      </c>
    </row>
    <row r="11" customFormat="false" ht="33.75" hidden="false" customHeight="true" outlineLevel="0" collapsed="false">
      <c r="A11" s="17" t="s">
        <v>223</v>
      </c>
      <c r="B11" s="17" t="s">
        <v>224</v>
      </c>
      <c r="C11" s="17" t="s">
        <v>225</v>
      </c>
      <c r="D11" s="17" t="s">
        <v>27</v>
      </c>
      <c r="E11" s="17" t="s">
        <v>132</v>
      </c>
      <c r="F11" s="17" t="s">
        <v>204</v>
      </c>
      <c r="G11" s="17" t="s">
        <v>205</v>
      </c>
    </row>
    <row r="12" customFormat="false" ht="48" hidden="false" customHeight="true" outlineLevel="0" collapsed="false">
      <c r="A12" s="18" t="s">
        <v>226</v>
      </c>
      <c r="B12" s="23" t="s">
        <v>227</v>
      </c>
      <c r="C12" s="23" t="s">
        <v>228</v>
      </c>
      <c r="D12" s="18" t="s">
        <v>83</v>
      </c>
      <c r="E12" s="18" t="n">
        <v>1</v>
      </c>
      <c r="F12" s="23" t="s">
        <v>229</v>
      </c>
    </row>
    <row r="13" customFormat="false" ht="48" hidden="false" customHeight="true" outlineLevel="0" collapsed="false">
      <c r="A13" s="18" t="s">
        <v>230</v>
      </c>
      <c r="B13" s="23" t="s">
        <v>231</v>
      </c>
      <c r="C13" s="23" t="s">
        <v>232</v>
      </c>
      <c r="D13" s="18" t="s">
        <v>83</v>
      </c>
      <c r="E13" s="18" t="n">
        <v>3</v>
      </c>
      <c r="F13" s="23" t="s">
        <v>233</v>
      </c>
    </row>
    <row r="14" customFormat="false" ht="48" hidden="false" customHeight="true" outlineLevel="0" collapsed="false">
      <c r="A14" s="18" t="s">
        <v>234</v>
      </c>
      <c r="B14" s="23" t="s">
        <v>235</v>
      </c>
      <c r="C14" s="23" t="s">
        <v>236</v>
      </c>
      <c r="D14" s="18" t="s">
        <v>83</v>
      </c>
      <c r="E14" s="18" t="n">
        <v>1</v>
      </c>
      <c r="F14" s="23" t="s">
        <v>237</v>
      </c>
    </row>
    <row r="15" customFormat="false" ht="48" hidden="false" customHeight="true" outlineLevel="0" collapsed="false">
      <c r="A15" s="18" t="s">
        <v>238</v>
      </c>
      <c r="B15" s="23" t="s">
        <v>239</v>
      </c>
      <c r="C15" s="23" t="s">
        <v>240</v>
      </c>
      <c r="D15" s="18" t="s">
        <v>241</v>
      </c>
      <c r="E15" s="18" t="n">
        <v>4</v>
      </c>
      <c r="F15" s="23" t="s">
        <v>59</v>
      </c>
      <c r="G15" s="18" t="n">
        <v>5</v>
      </c>
    </row>
    <row r="16" customFormat="false" ht="48" hidden="false" customHeight="true" outlineLevel="0" collapsed="false">
      <c r="A16" s="18" t="s">
        <v>242</v>
      </c>
      <c r="B16" s="23" t="s">
        <v>243</v>
      </c>
      <c r="C16" s="23" t="s">
        <v>244</v>
      </c>
      <c r="D16" s="18" t="s">
        <v>241</v>
      </c>
      <c r="E16" s="18" t="n">
        <v>8</v>
      </c>
      <c r="F16" s="23" t="s">
        <v>245</v>
      </c>
      <c r="G16" s="18" t="n">
        <v>45</v>
      </c>
    </row>
    <row r="17" customFormat="false" ht="17.25" hidden="false" customHeight="true" outlineLevel="0" collapsed="false">
      <c r="A17" s="24"/>
      <c r="B17" s="24" t="s">
        <v>246</v>
      </c>
      <c r="C17" s="24"/>
      <c r="D17" s="24"/>
      <c r="E17" s="25" t="n">
        <f aca="false">SUM(E12:E16)</f>
        <v>17</v>
      </c>
      <c r="F17" s="24"/>
    </row>
    <row r="19" customFormat="false" ht="61.5" hidden="false" customHeight="true" outlineLevel="0" collapsed="false">
      <c r="A19" s="26" t="s">
        <v>247</v>
      </c>
      <c r="B19" s="26"/>
      <c r="C19" s="26"/>
      <c r="D19" s="26"/>
      <c r="E19" s="26"/>
      <c r="F19" s="26"/>
    </row>
    <row r="21" customFormat="false" ht="48" hidden="false" customHeight="true" outlineLevel="0" collapsed="false">
      <c r="A21" s="26" t="s">
        <v>248</v>
      </c>
      <c r="B21" s="26"/>
      <c r="C21" s="26"/>
      <c r="D21" s="26"/>
      <c r="E21" s="26"/>
      <c r="F21" s="26"/>
      <c r="G21" s="26"/>
    </row>
  </sheetData>
  <mergeCells count="3">
    <mergeCell ref="A1:F1"/>
    <mergeCell ref="A19:F19"/>
    <mergeCell ref="A21:G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21" width="6"/>
    <col collapsed="false" customWidth="true" hidden="false" outlineLevel="0" max="2" min="2" style="21" width="26"/>
    <col collapsed="false" customWidth="true" hidden="false" outlineLevel="0" max="3" min="3" style="21" width="62"/>
    <col collapsed="false" customWidth="true" hidden="false" outlineLevel="0" max="4" min="4" style="21" width="46"/>
  </cols>
  <sheetData>
    <row r="1" customFormat="false" ht="17.25" hidden="false" customHeight="true" outlineLevel="0" collapsed="false">
      <c r="A1" s="22" t="s">
        <v>249</v>
      </c>
      <c r="B1" s="22"/>
      <c r="C1" s="22"/>
      <c r="D1" s="22"/>
    </row>
    <row r="2" customFormat="false" ht="33.75" hidden="false" customHeight="true" outlineLevel="0" collapsed="false">
      <c r="A2" s="17" t="s">
        <v>250</v>
      </c>
      <c r="B2" s="17" t="s">
        <v>251</v>
      </c>
      <c r="C2" s="17" t="s">
        <v>252</v>
      </c>
      <c r="D2" s="17" t="s">
        <v>253</v>
      </c>
    </row>
    <row r="3" customFormat="false" ht="73.5" hidden="false" customHeight="true" outlineLevel="0" collapsed="false">
      <c r="A3" s="18" t="n">
        <v>1</v>
      </c>
      <c r="B3" s="23" t="s">
        <v>254</v>
      </c>
      <c r="C3" s="23" t="s">
        <v>255</v>
      </c>
      <c r="D3" s="23" t="s">
        <v>256</v>
      </c>
    </row>
    <row r="4" customFormat="false" ht="73.5" hidden="false" customHeight="true" outlineLevel="0" collapsed="false">
      <c r="A4" s="18" t="n">
        <v>2</v>
      </c>
      <c r="B4" s="23" t="s">
        <v>254</v>
      </c>
      <c r="C4" s="23" t="s">
        <v>257</v>
      </c>
      <c r="D4" s="23" t="s">
        <v>258</v>
      </c>
    </row>
    <row r="5" customFormat="false" ht="73.5" hidden="false" customHeight="true" outlineLevel="0" collapsed="false">
      <c r="A5" s="18" t="n">
        <v>3</v>
      </c>
      <c r="B5" s="23" t="s">
        <v>259</v>
      </c>
      <c r="C5" s="23" t="s">
        <v>260</v>
      </c>
      <c r="D5" s="23" t="s">
        <v>261</v>
      </c>
    </row>
    <row r="6" customFormat="false" ht="73.5" hidden="false" customHeight="true" outlineLevel="0" collapsed="false">
      <c r="A6" s="18" t="n">
        <v>4</v>
      </c>
      <c r="B6" s="23" t="s">
        <v>262</v>
      </c>
      <c r="C6" s="23" t="s">
        <v>263</v>
      </c>
      <c r="D6" s="23" t="s">
        <v>264</v>
      </c>
    </row>
    <row r="7" customFormat="false" ht="73.5" hidden="false" customHeight="true" outlineLevel="0" collapsed="false">
      <c r="A7" s="18" t="n">
        <v>5</v>
      </c>
      <c r="B7" s="23" t="s">
        <v>265</v>
      </c>
      <c r="C7" s="23" t="s">
        <v>266</v>
      </c>
      <c r="D7" s="23" t="s">
        <v>267</v>
      </c>
    </row>
    <row r="8" customFormat="false" ht="73.5" hidden="false" customHeight="true" outlineLevel="0" collapsed="false">
      <c r="A8" s="18" t="n">
        <v>6</v>
      </c>
      <c r="B8" s="23" t="s">
        <v>268</v>
      </c>
      <c r="C8" s="23" t="s">
        <v>269</v>
      </c>
      <c r="D8" s="23" t="s">
        <v>270</v>
      </c>
    </row>
    <row r="9" customFormat="false" ht="73.5" hidden="false" customHeight="true" outlineLevel="0" collapsed="false">
      <c r="A9" s="18" t="n">
        <v>7</v>
      </c>
      <c r="B9" s="23" t="s">
        <v>271</v>
      </c>
      <c r="C9" s="23" t="s">
        <v>272</v>
      </c>
      <c r="D9" s="23" t="s">
        <v>273</v>
      </c>
    </row>
    <row r="10" customFormat="false" ht="73.5" hidden="false" customHeight="true" outlineLevel="0" collapsed="false">
      <c r="A10" s="18" t="n">
        <v>8</v>
      </c>
      <c r="B10" s="23" t="s">
        <v>274</v>
      </c>
      <c r="C10" s="23" t="s">
        <v>275</v>
      </c>
      <c r="D10" s="23" t="s">
        <v>276</v>
      </c>
    </row>
    <row r="11" customFormat="false" ht="73.5" hidden="false" customHeight="true" outlineLevel="0" collapsed="false">
      <c r="A11" s="18" t="n">
        <v>9</v>
      </c>
      <c r="B11" s="23" t="s">
        <v>277</v>
      </c>
      <c r="C11" s="23" t="s">
        <v>278</v>
      </c>
      <c r="D11" s="23" t="s">
        <v>279</v>
      </c>
    </row>
    <row r="12" customFormat="false" ht="73.5" hidden="false" customHeight="true" outlineLevel="0" collapsed="false">
      <c r="A12" s="18" t="n">
        <v>10</v>
      </c>
      <c r="B12" s="23" t="s">
        <v>277</v>
      </c>
      <c r="C12" s="23" t="s">
        <v>280</v>
      </c>
      <c r="D12" s="23" t="s">
        <v>281</v>
      </c>
    </row>
    <row r="13" customFormat="false" ht="73.5" hidden="false" customHeight="true" outlineLevel="0" collapsed="false">
      <c r="A13" s="18" t="n">
        <v>11</v>
      </c>
      <c r="B13" s="23" t="s">
        <v>254</v>
      </c>
      <c r="C13" s="23" t="s">
        <v>282</v>
      </c>
      <c r="D13" s="23" t="s">
        <v>283</v>
      </c>
    </row>
    <row r="14" customFormat="false" ht="73.5" hidden="false" customHeight="true" outlineLevel="0" collapsed="false">
      <c r="A14" s="18" t="n">
        <v>12</v>
      </c>
      <c r="B14" s="23" t="s">
        <v>254</v>
      </c>
      <c r="C14" s="23" t="s">
        <v>284</v>
      </c>
      <c r="D14" s="23" t="s">
        <v>258</v>
      </c>
    </row>
    <row r="15" customFormat="false" ht="73.5" hidden="false" customHeight="true" outlineLevel="0" collapsed="false">
      <c r="A15" s="18" t="n">
        <v>13</v>
      </c>
      <c r="B15" s="23" t="s">
        <v>274</v>
      </c>
      <c r="C15" s="23" t="s">
        <v>285</v>
      </c>
      <c r="D15" s="23" t="s">
        <v>286</v>
      </c>
    </row>
    <row r="16" customFormat="false" ht="73.5" hidden="false" customHeight="true" outlineLevel="0" collapsed="false">
      <c r="A16" s="18" t="n">
        <v>14</v>
      </c>
      <c r="B16" s="23" t="s">
        <v>287</v>
      </c>
      <c r="C16" s="23" t="s">
        <v>288</v>
      </c>
      <c r="D16" s="23" t="s">
        <v>289</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2026-08-13T03:14:03Z</dcterms:created>
  <dc:creator>openpyxl</dc:creator>
  <dc:description/>
  <dc:language>en-US</dc:language>
  <cp:lastModifiedBy/>
  <dcterms:modified xsi:type="dcterms:W3CDTF">2026-08-29T03:37:31Z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